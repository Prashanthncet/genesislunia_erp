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jay\projj\genesiserp-master\"/>
    </mc:Choice>
  </mc:AlternateContent>
  <xr:revisionPtr revIDLastSave="0" documentId="13_ncr:1_{345B2E64-41FF-4BCA-83C9-2AA2BC603B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rt Here" sheetId="1" r:id="rId1"/>
    <sheet name="1. School Profile" sheetId="2" r:id="rId2"/>
    <sheet name="2. Modules" sheetId="3" r:id="rId3"/>
    <sheet name="3. Classes" sheetId="4" r:id="rId4"/>
    <sheet name="4. Subjects" sheetId="5" r:id="rId5"/>
    <sheet name="5. Staff" sheetId="6" r:id="rId6"/>
    <sheet name="6. Timetable" sheetId="7" r:id="rId7"/>
    <sheet name="7. Fees" sheetId="8" r:id="rId8"/>
    <sheet name="8. Admissions" sheetId="9" r:id="rId9"/>
    <sheet name="9. Hostel" sheetId="10" r:id="rId10"/>
    <sheet name="10. Attendance &amp; Leave" sheetId="11" r:id="rId11"/>
    <sheet name="11. Exams" sheetId="12" r:id="rId12"/>
    <sheet name="12. Grading" sheetId="13" r:id="rId13"/>
    <sheet name="13. Notifications" sheetId="14" r:id="rId14"/>
    <sheet name="14. Existing Data" sheetId="15" r:id="rId15"/>
    <sheet name="15. Reports" sheetId="16" r:id="rId16"/>
    <sheet name="16. Questions &amp; Sign-off" sheetId="17" r:id="rId17"/>
  </sheets>
  <definedNames>
    <definedName name="_xlnm.Print_Titles" localSheetId="1">'1. School Profile'!$1:$2</definedName>
    <definedName name="_xlnm.Print_Titles" localSheetId="10">'10. Attendance &amp; Leave'!$1:$2</definedName>
    <definedName name="_xlnm.Print_Titles" localSheetId="11">'11. Exams'!$1:$2</definedName>
    <definedName name="_xlnm.Print_Titles" localSheetId="12">'12. Grading'!$1:$2</definedName>
    <definedName name="_xlnm.Print_Titles" localSheetId="13">'13. Notifications'!$1:$2</definedName>
    <definedName name="_xlnm.Print_Titles" localSheetId="14">'14. Existing Data'!$1:$2</definedName>
    <definedName name="_xlnm.Print_Titles" localSheetId="15">'15. Reports'!$1:$2</definedName>
    <definedName name="_xlnm.Print_Titles" localSheetId="16">'16. Questions &amp; Sign-off'!$1:$2</definedName>
    <definedName name="_xlnm.Print_Titles" localSheetId="2">'2. Modules'!$1:$2</definedName>
    <definedName name="_xlnm.Print_Titles" localSheetId="3">'3. Classes'!$1:$2</definedName>
    <definedName name="_xlnm.Print_Titles" localSheetId="4">'4. Subjects'!$1:$2</definedName>
    <definedName name="_xlnm.Print_Titles" localSheetId="5">'5. Staff'!$1:$2</definedName>
    <definedName name="_xlnm.Print_Titles" localSheetId="6">'6. Timetable'!$1:$2</definedName>
    <definedName name="_xlnm.Print_Titles" localSheetId="7">'7. Fees'!$1:$2</definedName>
    <definedName name="_xlnm.Print_Titles" localSheetId="8">'8. Admissions'!$1:$2</definedName>
    <definedName name="_xlnm.Print_Titles" localSheetId="9">'9. Hostel'!$1:$2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7" l="1"/>
  <c r="A3" i="16"/>
  <c r="A3" i="15"/>
  <c r="A3" i="14"/>
  <c r="A3" i="13"/>
  <c r="A3" i="12"/>
  <c r="A3" i="11"/>
  <c r="A3" i="10"/>
  <c r="A3" i="9"/>
  <c r="A3" i="8"/>
  <c r="A3" i="7"/>
  <c r="A3" i="6"/>
  <c r="A3" i="5"/>
  <c r="A3" i="4"/>
  <c r="A3" i="3"/>
  <c r="A3" i="2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B7" i="1"/>
  <c r="F41" i="1" l="1"/>
</calcChain>
</file>

<file path=xl/sharedStrings.xml><?xml version="1.0" encoding="utf-8"?>
<sst xmlns="http://schemas.openxmlformats.org/spreadsheetml/2006/main" count="482" uniqueCount="434">
  <si>
    <t>Genesis Lumia ERP</t>
  </si>
  <si>
    <t>School Requirements Workbook</t>
  </si>
  <si>
    <t>Please fill this in and send it back — it is everything we need to set up the ERP for your school.</t>
  </si>
  <si>
    <t>SCHOOL</t>
  </si>
  <si>
    <t>PLEASE RETURN THE COMPLETED FILE TO</t>
  </si>
  <si>
    <t>Jayanth  ·  jayanth.m@ncetmail.com</t>
  </si>
  <si>
    <t>HOW TO FILL THIS IN</t>
  </si>
  <si>
    <t>Work through the numbered sheets (tabs along the bottom). Each one takes 5–15 minutes.</t>
  </si>
  <si>
    <t>Type only in the light-blue cells. Where a cell has a ▾ arrow, pick from the list.</t>
  </si>
  <si>
    <t>The gold row on each sheet is an example of the format — overwrite it or leave it.</t>
  </si>
  <si>
    <t>Fields marked * are required. If something does not apply to you, write 'NA'.</t>
  </si>
  <si>
    <t>Unsure about anything? Note it in Sheet 16 — we will discuss it with you.</t>
  </si>
  <si>
    <t>Save the file and send it back. Sending it in parts is fine — the tracker below shows what's left.</t>
  </si>
  <si>
    <t>COLOUR KEY</t>
  </si>
  <si>
    <t>Light blue — please fill in</t>
  </si>
  <si>
    <t>e.g.</t>
  </si>
  <si>
    <t>Gold — an example of the expected format</t>
  </si>
  <si>
    <t>White — questions and guidance from us (no need to change)</t>
  </si>
  <si>
    <t>YOUR PROGRESS</t>
  </si>
  <si>
    <t>#</t>
  </si>
  <si>
    <t>Section</t>
  </si>
  <si>
    <t>What we need</t>
  </si>
  <si>
    <t>Filled so far</t>
  </si>
  <si>
    <t>Status</t>
  </si>
  <si>
    <t>Go</t>
  </si>
  <si>
    <t>School Profile</t>
  </si>
  <si>
    <t>Name, board, contacts, academic year, size</t>
  </si>
  <si>
    <t>Modules</t>
  </si>
  <si>
    <t>Which ERP modules you want and their priority</t>
  </si>
  <si>
    <t>Classes</t>
  </si>
  <si>
    <t>Every class and section, with class teacher</t>
  </si>
  <si>
    <t>Subjects</t>
  </si>
  <si>
    <t>Subjects, classes taught in, periods per week</t>
  </si>
  <si>
    <t>Staff</t>
  </si>
  <si>
    <t>Everyone who needs a login, and their role</t>
  </si>
  <si>
    <t>Timetable</t>
  </si>
  <si>
    <t>Bell schedule and timetable rules</t>
  </si>
  <si>
    <t>Fees</t>
  </si>
  <si>
    <t>Fee heads, amounts, terms and due dates</t>
  </si>
  <si>
    <t>Admissions</t>
  </si>
  <si>
    <t>Admission process and required documents</t>
  </si>
  <si>
    <t>Hostel</t>
  </si>
  <si>
    <t>Hostels, rooms, visitor &amp; gate-pass rules</t>
  </si>
  <si>
    <t>Attendance &amp; Leave</t>
  </si>
  <si>
    <t>Attendance method, leave types and quotas</t>
  </si>
  <si>
    <t>Exams</t>
  </si>
  <si>
    <t>Exams in the year and their weightage</t>
  </si>
  <si>
    <t>Grading</t>
  </si>
  <si>
    <t>Grade bands (if you use grades)</t>
  </si>
  <si>
    <t>Notifications</t>
  </si>
  <si>
    <t>Automatic SMS / email / WhatsApp messages</t>
  </si>
  <si>
    <t>Existing Data</t>
  </si>
  <si>
    <t>Records we can import for you</t>
  </si>
  <si>
    <t>Reports</t>
  </si>
  <si>
    <t>Reports and certificates you use today</t>
  </si>
  <si>
    <t>Questions &amp; Sign-off</t>
  </si>
  <si>
    <t>Open questions and who filled this in</t>
  </si>
  <si>
    <t>Sections complete</t>
  </si>
  <si>
    <t>Your answers are used only to configure your school's ERP. Questions? Contact Jayanth at jayanth.m@ncetmail.com.</t>
  </si>
  <si>
    <t>1 · School Profile</t>
  </si>
  <si>
    <t>Who you are, how to reach you, and how your academic year runs. This sets up your school in the ERP.</t>
  </si>
  <si>
    <t>Light-blue cells: please fill in   ·   Gold row: example of the format   ·   * required</t>
  </si>
  <si>
    <t>SCHOOL IDENTITY</t>
  </si>
  <si>
    <t>School name *</t>
  </si>
  <si>
    <t>Full name as it should appear on receipts and report cards</t>
  </si>
  <si>
    <t>Campus / branch name</t>
  </si>
  <si>
    <t>e.g. Main Campus. Leave blank if you have only one campus</t>
  </si>
  <si>
    <t>Board *</t>
  </si>
  <si>
    <t>Pick one; choose Other and explain in Questions sheet if needed</t>
  </si>
  <si>
    <t>Affiliation number</t>
  </si>
  <si>
    <t>e.g. 1930001</t>
  </si>
  <si>
    <t>UDISE code</t>
  </si>
  <si>
    <t>11-digit code, e.g. 29200800101</t>
  </si>
  <si>
    <t>School type *</t>
  </si>
  <si>
    <t>Day, residential or both</t>
  </si>
  <si>
    <t>Students admitted *</t>
  </si>
  <si>
    <t>Boys, girls or co-ed</t>
  </si>
  <si>
    <t>Year established</t>
  </si>
  <si>
    <t>e.g. 1962</t>
  </si>
  <si>
    <t>Website</t>
  </si>
  <si>
    <t>e.g. www.sainikschool.edu.in</t>
  </si>
  <si>
    <t>CONTACT</t>
  </si>
  <si>
    <t>Full address *</t>
  </si>
  <si>
    <t>Street, area</t>
  </si>
  <si>
    <t>City *</t>
  </si>
  <si>
    <t>State *</t>
  </si>
  <si>
    <t>PIN code *</t>
  </si>
  <si>
    <t>6 digits, e.g. 560001</t>
  </si>
  <si>
    <t>Office phone *</t>
  </si>
  <si>
    <t>With STD code, e.g. 080-2345 6789</t>
  </si>
  <si>
    <t>Official email *</t>
  </si>
  <si>
    <t>e.g. office@school.edu.in</t>
  </si>
  <si>
    <t>Principal's name *</t>
  </si>
  <si>
    <t>e.g. Dr. A. Sharma</t>
  </si>
  <si>
    <t>Principal's email *</t>
  </si>
  <si>
    <t>Principal's mobile</t>
  </si>
  <si>
    <t>10 digits</t>
  </si>
  <si>
    <t>ERP coordinator (our main contact) *</t>
  </si>
  <si>
    <t>Person who will answer our questions during setup</t>
  </si>
  <si>
    <t>Coordinator mobile &amp; email *</t>
  </si>
  <si>
    <t>e.g. 98450 12345 · it.coordinator@school.edu.in</t>
  </si>
  <si>
    <t>ACADEMIC YEAR</t>
  </si>
  <si>
    <t>Academic year *</t>
  </si>
  <si>
    <t>e.g. 2026-27</t>
  </si>
  <si>
    <t>Session start date *</t>
  </si>
  <si>
    <t>e.g. 01-Apr-2026</t>
  </si>
  <si>
    <t>Session end date *</t>
  </si>
  <si>
    <t>e.g. 31-Mar-2027</t>
  </si>
  <si>
    <t>Working days *</t>
  </si>
  <si>
    <t>Which days classes run</t>
  </si>
  <si>
    <t>School start time *</t>
  </si>
  <si>
    <t>e.g. 08:00</t>
  </si>
  <si>
    <t>School end time *</t>
  </si>
  <si>
    <t>e.g. 14:30</t>
  </si>
  <si>
    <t>SIZE (APPROXIMATE IS FINE)</t>
  </si>
  <si>
    <t>Total students *</t>
  </si>
  <si>
    <t>e.g. 850</t>
  </si>
  <si>
    <t>Teaching staff *</t>
  </si>
  <si>
    <t>e.g. 48</t>
  </si>
  <si>
    <t>Non-teaching staff</t>
  </si>
  <si>
    <t>e.g. 30</t>
  </si>
  <si>
    <t>Hostel facility *</t>
  </si>
  <si>
    <t>Transport (school buses) *</t>
  </si>
  <si>
    <t>BRANDING</t>
  </si>
  <si>
    <t>We will send our logo (PNG / SVG)</t>
  </si>
  <si>
    <t>High resolution, transparent background if possible</t>
  </si>
  <si>
    <t>School colours</t>
  </si>
  <si>
    <t>e.g. Navy blue and gold</t>
  </si>
  <si>
    <t>Motto / tagline</t>
  </si>
  <si>
    <t>Shown on the login page and report cards</t>
  </si>
  <si>
    <t>2 · Modules You Need</t>
  </si>
  <si>
    <t>Tell us which parts of the ERP you want, how important each is, and anything special about how your school works.</t>
  </si>
  <si>
    <t>MODULES</t>
  </si>
  <si>
    <t>Answer the light-blue columns for every module. Example: Admissions → Yes · High · 15-Mar-2026 · Admission in-charge, Principal · “We admit only in Class 6 and 9, after an entrance test.”</t>
  </si>
  <si>
    <t>Module</t>
  </si>
  <si>
    <t>What it covers</t>
  </si>
  <si>
    <t>Do you need it? *</t>
  </si>
  <si>
    <t>Priority</t>
  </si>
  <si>
    <t>Needed by (date)</t>
  </si>
  <si>
    <t>Main users</t>
  </si>
  <si>
    <t>How it works at your school / special needs</t>
  </si>
  <si>
    <t>Online parent form, document upload, step-by-step approvals, roll numbers, house allocation, admission letter</t>
  </si>
  <si>
    <t>Student records</t>
  </si>
  <si>
    <t>Student master profile, parents, class &amp; section, status, documents</t>
  </si>
  <si>
    <t>Attendance</t>
  </si>
  <si>
    <t>Daily roll call, monthly register, absent alerts to parents, attendance %</t>
  </si>
  <si>
    <t>Timetable &amp; substitution</t>
  </si>
  <si>
    <t>Auto-generate timetable, teacher workload, cover for absent teachers</t>
  </si>
  <si>
    <t>Academics</t>
  </si>
  <si>
    <t>Subjects, syllabus, lesson plans, assignments</t>
  </si>
  <si>
    <t>Exams &amp; report cards</t>
  </si>
  <si>
    <t>Exam schedule, marks entry, grades, printable report cards</t>
  </si>
  <si>
    <t>Online tests (CBT)</t>
  </si>
  <si>
    <t>Question bank, timed online tests, auto-marking of MCQs</t>
  </si>
  <si>
    <t>Fees &amp; payments</t>
  </si>
  <si>
    <t>Fee structure, invoices, payment recording, receipts, dues</t>
  </si>
  <si>
    <t>Leave &amp; gate pass</t>
  </si>
  <si>
    <t>Staff and student leave, leave balances, hostel gate passes</t>
  </si>
  <si>
    <t>Hostels, rooms, bed allocation, visitors</t>
  </si>
  <si>
    <t>Discipline</t>
  </si>
  <si>
    <t>Incident records, demerits, confidential notes, parent intimation</t>
  </si>
  <si>
    <t>Staff &amp; payroll</t>
  </si>
  <si>
    <t>Staff directory, salary structure, monthly payslips, leave deductions</t>
  </si>
  <si>
    <t>SMS / email / WhatsApp to parents and staff, broadcasts</t>
  </si>
  <si>
    <t>Reports &amp; dashboards</t>
  </si>
  <si>
    <t>Summary dashboards, exports to Excel/PDF</t>
  </si>
  <si>
    <t>3 · Classes &amp; Sections</t>
  </si>
  <si>
    <t>One row per section. This builds your class list, rosters and the timetable grid.</t>
  </si>
  <si>
    <t>CLASSES &amp; SECTIONS</t>
  </si>
  <si>
    <t>Class *</t>
  </si>
  <si>
    <t>Section *</t>
  </si>
  <si>
    <t>Stream</t>
  </si>
  <si>
    <t>Class teacher</t>
  </si>
  <si>
    <t>Room</t>
  </si>
  <si>
    <t>Students (approx)</t>
  </si>
  <si>
    <t>Notes</t>
  </si>
  <si>
    <t>Class 10</t>
  </si>
  <si>
    <t>A</t>
  </si>
  <si>
    <t>None</t>
  </si>
  <si>
    <t>Mrs. Meera Iyer</t>
  </si>
  <si>
    <t>R-204</t>
  </si>
  <si>
    <t>Gold row is an example — replace or delete</t>
  </si>
  <si>
    <t>4 · Subjects</t>
  </si>
  <si>
    <t>Every subject taught, the classes it is taught in, and how many periods a week it gets.</t>
  </si>
  <si>
    <t>SUBJECTS</t>
  </si>
  <si>
    <t>Subject name *</t>
  </si>
  <si>
    <t>Short code</t>
  </si>
  <si>
    <t>Taught in classes *</t>
  </si>
  <si>
    <t>Type</t>
  </si>
  <si>
    <t>Periods / week</t>
  </si>
  <si>
    <t>Max marks</t>
  </si>
  <si>
    <t>Mathematics</t>
  </si>
  <si>
    <t>MAT</t>
  </si>
  <si>
    <t>Class 6 – 12</t>
  </si>
  <si>
    <t>Theory</t>
  </si>
  <si>
    <t>Class 11–12 Science only for Physics</t>
  </si>
  <si>
    <t>5 · Staff &amp; ERP Roles</t>
  </si>
  <si>
    <t>Everyone who will use the ERP, and what they should be allowed to do. Each person gets their own login.</t>
  </si>
  <si>
    <t>STAFF LIST</t>
  </si>
  <si>
    <t>ERP role decides what each person can see and change. Pick the closest one; explain exceptions in Notes.</t>
  </si>
  <si>
    <t>Full name *</t>
  </si>
  <si>
    <t>Designation *</t>
  </si>
  <si>
    <t>Department</t>
  </si>
  <si>
    <t>ERP role *</t>
  </si>
  <si>
    <t>Email (login) *</t>
  </si>
  <si>
    <t>Mobile</t>
  </si>
  <si>
    <t>Subjects taught</t>
  </si>
  <si>
    <t>Max periods / day</t>
  </si>
  <si>
    <t>Needs login? *</t>
  </si>
  <si>
    <t>PGT Mathematics</t>
  </si>
  <si>
    <t>Teacher</t>
  </si>
  <si>
    <t>meera.iyer@school.edu.in</t>
  </si>
  <si>
    <t>98450 12345</t>
  </si>
  <si>
    <t>Yes</t>
  </si>
  <si>
    <t>6 · Timetable Setup</t>
  </si>
  <si>
    <t>Your bell schedule and the rules the timetable generator must follow.</t>
  </si>
  <si>
    <t>RULES</t>
  </si>
  <si>
    <t>1.  Periods per day *</t>
  </si>
  <si>
    <t>Teaching periods only, e.g. 8</t>
  </si>
  <si>
    <t>2.  Period length (minutes) *</t>
  </si>
  <si>
    <t>e.g. 45</t>
  </si>
  <si>
    <t>3.  Max periods per teacher per day *</t>
  </si>
  <si>
    <t>e.g. 6</t>
  </si>
  <si>
    <t>4.  Same subject twice in a day?</t>
  </si>
  <si>
    <t>Allowed for any class?</t>
  </si>
  <si>
    <t>5.  Who arranges substitutions?</t>
  </si>
  <si>
    <t>e.g. Vice Principal</t>
  </si>
  <si>
    <t>BELL SCHEDULE</t>
  </si>
  <si>
    <t>One row per period, break, lunch or assembly — in order.</t>
  </si>
  <si>
    <t>Order *</t>
  </si>
  <si>
    <t>Start time *</t>
  </si>
  <si>
    <t>End time *</t>
  </si>
  <si>
    <t>Type *</t>
  </si>
  <si>
    <t>Name</t>
  </si>
  <si>
    <t>09:30</t>
  </si>
  <si>
    <t>09:45</t>
  </si>
  <si>
    <t>Short break</t>
  </si>
  <si>
    <t>Break</t>
  </si>
  <si>
    <t>No classes during breaks</t>
  </si>
  <si>
    <t>7 · Fee Structure</t>
  </si>
  <si>
    <t>Every fee you charge, for which classes, how often, and when it is due. Amounts in ₹.</t>
  </si>
  <si>
    <t>COLLECTION</t>
  </si>
  <si>
    <t>1.  Payment modes you accept *</t>
  </si>
  <si>
    <t>e.g. Cash, UPI, Cheque, NEFT</t>
  </si>
  <si>
    <t>2.  Online payment gateway</t>
  </si>
  <si>
    <t>If you already use one, e.g. Razorpay</t>
  </si>
  <si>
    <t>3.  Terms in a year *</t>
  </si>
  <si>
    <t>4.  Receipt number format</t>
  </si>
  <si>
    <t>e.g. RCPT-2026-0001</t>
  </si>
  <si>
    <t>5.  Sibling / staff-ward concession</t>
  </si>
  <si>
    <t>Describe the rule, or 'None'</t>
  </si>
  <si>
    <t>FEE HEADS</t>
  </si>
  <si>
    <t>One row per fee head per class group.</t>
  </si>
  <si>
    <t>Classes *</t>
  </si>
  <si>
    <t>Fee head *</t>
  </si>
  <si>
    <t>Amount (₹) *</t>
  </si>
  <si>
    <t>Frequency *</t>
  </si>
  <si>
    <t>Due date *</t>
  </si>
  <si>
    <t>Late fee</t>
  </si>
  <si>
    <t>Class 6 – 8</t>
  </si>
  <si>
    <t>Tuition</t>
  </si>
  <si>
    <t>Per term</t>
  </si>
  <si>
    <t>10th of the term's first month</t>
  </si>
  <si>
    <t>₹50 per day after 15 days</t>
  </si>
  <si>
    <t>Refundable: No</t>
  </si>
  <si>
    <t>8 · Admissions</t>
  </si>
  <si>
    <t>How admissions run at your school, and which documents parents must submit.</t>
  </si>
  <si>
    <t>PROCESS</t>
  </si>
  <si>
    <t>1.  Classes you admit into *</t>
  </si>
  <si>
    <t>e.g. Class 6 and Class 9 only</t>
  </si>
  <si>
    <t>2.  Admission window *</t>
  </si>
  <si>
    <t>e.g. January – March</t>
  </si>
  <si>
    <t>3.  Entrance test? *</t>
  </si>
  <si>
    <t>4.  Approval steps, in order *</t>
  </si>
  <si>
    <t>e.g. Office → Accounts → Vice Principal → Principal</t>
  </si>
  <si>
    <t>5.  Online form for parents? *</t>
  </si>
  <si>
    <t>Parents fill the form themselves via a link</t>
  </si>
  <si>
    <t>6.  Roll number format *</t>
  </si>
  <si>
    <t>e.g. 10A-2026-007 (class-section, year, number)</t>
  </si>
  <si>
    <t>7.  House system? *</t>
  </si>
  <si>
    <t>8.  House names</t>
  </si>
  <si>
    <t>e.g. Red, Blue, Green, Yellow</t>
  </si>
  <si>
    <t>9.  House allocation</t>
  </si>
  <si>
    <t>DOCUMENTS PARENTS MUST SUBMIT</t>
  </si>
  <si>
    <t>Document *</t>
  </si>
  <si>
    <t>Mandatory? *</t>
  </si>
  <si>
    <t>Accepted format</t>
  </si>
  <si>
    <t>Max size</t>
  </si>
  <si>
    <t>Original needed at school?</t>
  </si>
  <si>
    <t>Birth certificate</t>
  </si>
  <si>
    <t>PDF or image</t>
  </si>
  <si>
    <t>2 MB</t>
  </si>
  <si>
    <t>Municipal certificate only</t>
  </si>
  <si>
    <t>9 · Hostel</t>
  </si>
  <si>
    <t>Skip this sheet if you have no hostel. Otherwise: your hostels, rooms and house rules.</t>
  </si>
  <si>
    <t>1.  Visitor days &amp; timings</t>
  </si>
  <si>
    <t>e.g. Sundays 10:00 – 13:00</t>
  </si>
  <si>
    <t>2.  Gate pass approval</t>
  </si>
  <si>
    <t>Who approves a student leaving campus</t>
  </si>
  <si>
    <t>3.  Parent OTP on student return?</t>
  </si>
  <si>
    <t>Parent confirms with a one-time code</t>
  </si>
  <si>
    <t>HOSTELS</t>
  </si>
  <si>
    <t>Hostel name *</t>
  </si>
  <si>
    <t>For *</t>
  </si>
  <si>
    <t>Rooms *</t>
  </si>
  <si>
    <t>Beds per room *</t>
  </si>
  <si>
    <t>Warden</t>
  </si>
  <si>
    <t>Warden mobile</t>
  </si>
  <si>
    <t>Shivaji House</t>
  </si>
  <si>
    <t>Boys</t>
  </si>
  <si>
    <t>Mr. Amit Khanna</t>
  </si>
  <si>
    <t>98860 22334</t>
  </si>
  <si>
    <t>Class 6–8 only</t>
  </si>
  <si>
    <t>10 · Attendance &amp; Leave</t>
  </si>
  <si>
    <t>How attendance is taken, and the leave types and yearly quotas for staff and students.</t>
  </si>
  <si>
    <t>ATTENDANCE</t>
  </si>
  <si>
    <t>1.  How is attendance taken? *</t>
  </si>
  <si>
    <t>2.  Marked by *</t>
  </si>
  <si>
    <t>e.g. Class teacher, by 09:00</t>
  </si>
  <si>
    <t>3.  SMS parents when a child is absent? *</t>
  </si>
  <si>
    <t>4.  Minimum attendance required (%)</t>
  </si>
  <si>
    <t>e.g. 75</t>
  </si>
  <si>
    <t>5.  Biometric device brand (if any)</t>
  </si>
  <si>
    <t>e.g. eSSL, ZKTeco, CAMS</t>
  </si>
  <si>
    <t>LEAVE TYPES</t>
  </si>
  <si>
    <t>Leave type *</t>
  </si>
  <si>
    <t>Days per year *</t>
  </si>
  <si>
    <t>Paid? *</t>
  </si>
  <si>
    <t>Carry forward?</t>
  </si>
  <si>
    <t>Approved by *</t>
  </si>
  <si>
    <t>Casual Leave</t>
  </si>
  <si>
    <t>Paid</t>
  </si>
  <si>
    <t>No</t>
  </si>
  <si>
    <t>Principal</t>
  </si>
  <si>
    <t>Max 3 days at a time</t>
  </si>
  <si>
    <t>11 · Exams</t>
  </si>
  <si>
    <t>Every exam in the year, the classes that sit it, and how much it counts towards the final result.</t>
  </si>
  <si>
    <t>1.  Result shown as *</t>
  </si>
  <si>
    <t>2.  Pass mark (%) *</t>
  </si>
  <si>
    <t>e.g. 33</t>
  </si>
  <si>
    <t>3.  We will send a sample report card</t>
  </si>
  <si>
    <t>So the printed report card matches yours</t>
  </si>
  <si>
    <t>EXAMS IN THE YEAR</t>
  </si>
  <si>
    <t>Exam name *</t>
  </si>
  <si>
    <t>Month *</t>
  </si>
  <si>
    <t>Max marks *</t>
  </si>
  <si>
    <t>Weightage (%)</t>
  </si>
  <si>
    <t>Half-Yearly Examination</t>
  </si>
  <si>
    <t>September</t>
  </si>
  <si>
    <t>Written</t>
  </si>
  <si>
    <t>+20 internal assessment</t>
  </si>
  <si>
    <t>12 · Grading Scale</t>
  </si>
  <si>
    <t>Your grade bands. Leave blank if you report marks only.</t>
  </si>
  <si>
    <t>GRADE BANDS</t>
  </si>
  <si>
    <t>Highest grade first. Percentages are inclusive.</t>
  </si>
  <si>
    <t>Grade *</t>
  </si>
  <si>
    <t>From (%) *</t>
  </si>
  <si>
    <t>To (%) *</t>
  </si>
  <si>
    <t>Grade point</t>
  </si>
  <si>
    <t>Remark on report card</t>
  </si>
  <si>
    <t>A1</t>
  </si>
  <si>
    <t>Outstanding</t>
  </si>
  <si>
    <t>13 · Notifications</t>
  </si>
  <si>
    <t>Which messages go out automatically, to whom, and by which channel.</t>
  </si>
  <si>
    <t>CHANNELS</t>
  </si>
  <si>
    <t>SMS provider (if any)</t>
  </si>
  <si>
    <t>e.g. MSG91, Textlocal — or None</t>
  </si>
  <si>
    <t>SMS sender ID</t>
  </si>
  <si>
    <t>6 letters, e.g. SAINIK</t>
  </si>
  <si>
    <t>Email sender address</t>
  </si>
  <si>
    <t>e.g. noreply@school.edu.in</t>
  </si>
  <si>
    <t>WhatsApp Business number</t>
  </si>
  <si>
    <t>If you have one</t>
  </si>
  <si>
    <t>AUTOMATIC MESSAGES</t>
  </si>
  <si>
    <t>Decide each one. Channel can be SMS, Email, WhatsApp or several.</t>
  </si>
  <si>
    <t>Message</t>
  </si>
  <si>
    <t>Send to</t>
  </si>
  <si>
    <t>Channel</t>
  </si>
  <si>
    <t>Needed? *</t>
  </si>
  <si>
    <t>Student absent today</t>
  </si>
  <si>
    <t>Fee due reminder</t>
  </si>
  <si>
    <t>Fee payment receipt</t>
  </si>
  <si>
    <t>Exam results published</t>
  </si>
  <si>
    <t>Leave approved / rejected</t>
  </si>
  <si>
    <t>Gate pass issued / student returned</t>
  </si>
  <si>
    <t>Admission status update</t>
  </si>
  <si>
    <t>Holiday / general announcement</t>
  </si>
  <si>
    <t>Discipline incident (no confidential details)</t>
  </si>
  <si>
    <t>New assignment posted</t>
  </si>
  <si>
    <t>Payslip ready (staff)</t>
  </si>
  <si>
    <t>14 · Existing Data</t>
  </si>
  <si>
    <t>What records you already have, so we can import them instead of typing them in again.</t>
  </si>
  <si>
    <t>DATA YOU CAN SEND US</t>
  </si>
  <si>
    <t>We will share a simple import format for each 'Yes'.</t>
  </si>
  <si>
    <t>Data</t>
  </si>
  <si>
    <t>Available? *</t>
  </si>
  <si>
    <t>Kept in</t>
  </si>
  <si>
    <t>Approx. records</t>
  </si>
  <si>
    <t>Notes (software name, years covered…)</t>
  </si>
  <si>
    <t>Student list (name, class, parents, contacts)</t>
  </si>
  <si>
    <t>Parent / guardian contacts</t>
  </si>
  <si>
    <t>Staff list</t>
  </si>
  <si>
    <t>Fee dues &amp; payments this year</t>
  </si>
  <si>
    <t>Past attendance</t>
  </si>
  <si>
    <t>Past exam marks</t>
  </si>
  <si>
    <t>Current timetable</t>
  </si>
  <si>
    <t>Hostel room allotments</t>
  </si>
  <si>
    <t>Salary details (for payroll)</t>
  </si>
  <si>
    <t>Library books</t>
  </si>
  <si>
    <t>15 · Reports You Need</t>
  </si>
  <si>
    <t>Reports, registers and certificates your office produces today — we will match them.</t>
  </si>
  <si>
    <t>REPORTS</t>
  </si>
  <si>
    <t>Report / certificate *</t>
  </si>
  <si>
    <t>Who uses it</t>
  </si>
  <si>
    <t>How often</t>
  </si>
  <si>
    <t>Format</t>
  </si>
  <si>
    <t>Notes (please attach a sample if possible)</t>
  </si>
  <si>
    <t>Monthly fee defaulters list</t>
  </si>
  <si>
    <t>Accountant, Principal</t>
  </si>
  <si>
    <t>Monthly</t>
  </si>
  <si>
    <t>Excel</t>
  </si>
  <si>
    <t>Sorted by class</t>
  </si>
  <si>
    <t>16 · Questions &amp; Sign-off</t>
  </si>
  <si>
    <t>Anything we did not ask, any doubts — and who filled in this workbook.</t>
  </si>
  <si>
    <t>YOUR QUESTIONS &amp; SPECIAL REQUIREMENTS</t>
  </si>
  <si>
    <t>Question or requirement *</t>
  </si>
  <si>
    <t>Raised by</t>
  </si>
  <si>
    <t>Can parents see their child's attendance on their phone?</t>
  </si>
  <si>
    <t>Medium</t>
  </si>
  <si>
    <t>SIGN-OFF</t>
  </si>
  <si>
    <t>Filled in by *</t>
  </si>
  <si>
    <t>Date *</t>
  </si>
  <si>
    <t>e.g. 20-Oct-2026</t>
  </si>
  <si>
    <t>Approved by (Principal)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</si>
</sst>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;\-\₹#,##0;&quot;-&quot;"/>
  </numFmts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D6E4F4"/>
      <name val="Arial"/>
    </font>
    <font>
      <b/>
      <u/>
      <sz val="9"/>
      <color rgb="FF315A85"/>
      <name val="Arial"/>
    </font>
    <font>
      <i/>
      <sz val="9"/>
      <color rgb="FF64748B"/>
      <name val="Arial"/>
    </font>
    <font>
      <b/>
      <sz val="10"/>
      <color rgb="FF142B4A"/>
      <name val="Arial"/>
    </font>
    <font>
      <sz val="9"/>
      <color rgb="FF64748B"/>
      <name val="Arial"/>
    </font>
    <font>
      <b/>
      <sz val="10"/>
      <color rgb="FF172B4D"/>
      <name val="Arial"/>
    </font>
    <font>
      <sz val="10"/>
      <color rgb="FF172B4D"/>
      <name val="Arial"/>
    </font>
    <font>
      <b/>
      <sz val="10"/>
      <color rgb="FFFFFFFF"/>
      <name val="Arial"/>
    </font>
    <font>
      <i/>
      <sz val="10"/>
      <color rgb="FF7A5C0E"/>
      <name val="Arial"/>
    </font>
    <font>
      <b/>
      <sz val="22"/>
      <color rgb="FFFFFFFF"/>
      <name val="Arial"/>
    </font>
    <font>
      <sz val="13"/>
      <color rgb="FFB4CBE6"/>
      <name val="Arial"/>
    </font>
    <font>
      <i/>
      <sz val="10"/>
      <color rgb="FFD6E4F4"/>
      <name val="Arial"/>
    </font>
    <font>
      <b/>
      <sz val="8"/>
      <color rgb="FF64748B"/>
      <name val="Arial"/>
    </font>
    <font>
      <b/>
      <sz val="13"/>
      <color rgb="FF142B4A"/>
      <name val="Arial"/>
    </font>
    <font>
      <b/>
      <sz val="10"/>
      <color rgb="FF315A85"/>
      <name val="Arial"/>
    </font>
    <font>
      <i/>
      <sz val="8"/>
      <color rgb="FF7A5C0E"/>
      <name val="Arial"/>
    </font>
    <font>
      <sz val="9"/>
      <color rgb="FF172B4D"/>
      <name val="Arial"/>
    </font>
    <font>
      <b/>
      <sz val="9"/>
      <color rgb="FF172B4D"/>
      <name val="Arial"/>
    </font>
    <font>
      <b/>
      <sz val="11"/>
      <color rgb="FF142B4A"/>
      <name val="Arial"/>
    </font>
    <font>
      <b/>
      <sz val="12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42B4A"/>
      </patternFill>
    </fill>
    <fill>
      <patternFill patternType="solid">
        <fgColor rgb="FFEAF2FB"/>
      </patternFill>
    </fill>
    <fill>
      <patternFill patternType="solid">
        <fgColor rgb="FF315A85"/>
      </patternFill>
    </fill>
    <fill>
      <patternFill patternType="solid">
        <fgColor rgb="FFFBF4DE"/>
      </patternFill>
    </fill>
    <fill>
      <patternFill patternType="solid">
        <fgColor rgb="FF0B1F3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42B4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6" borderId="0" xfId="0" applyFill="1"/>
    <xf numFmtId="0" fontId="5" fillId="0" borderId="1" xfId="0" applyFont="1" applyBorder="1"/>
    <xf numFmtId="0" fontId="0" fillId="0" borderId="1" xfId="0" applyBorder="1"/>
    <xf numFmtId="0" fontId="9" fillId="4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/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164" fontId="10" fillId="5" borderId="2" xfId="0" applyNumberFormat="1" applyFont="1" applyFill="1" applyBorder="1" applyAlignment="1">
      <alignment vertical="center" wrapText="1"/>
    </xf>
    <xf numFmtId="164" fontId="8" fillId="3" borderId="2" xfId="0" applyNumberFormat="1" applyFont="1" applyFill="1" applyBorder="1" applyAlignment="1">
      <alignment vertical="center" wrapText="1"/>
    </xf>
    <xf numFmtId="164" fontId="0" fillId="0" borderId="0" xfId="0" applyNumberFormat="1"/>
    <xf numFmtId="0" fontId="11" fillId="2" borderId="0" xfId="0" applyFont="1" applyFill="1" applyAlignment="1">
      <alignment vertical="center"/>
    </xf>
    <xf numFmtId="0" fontId="0" fillId="0" borderId="0" xfId="0"/>
    <xf numFmtId="0" fontId="8" fillId="0" borderId="0" xfId="0" applyFont="1" applyAlignment="1">
      <alignment vertical="center" wrapText="1"/>
    </xf>
    <xf numFmtId="0" fontId="14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21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right"/>
    </xf>
    <xf numFmtId="0" fontId="14" fillId="0" borderId="0" xfId="0" applyFont="1"/>
    <xf numFmtId="0" fontId="13" fillId="6" borderId="0" xfId="0" applyFont="1" applyFill="1" applyAlignment="1">
      <alignment vertical="center"/>
    </xf>
    <xf numFmtId="0" fontId="15" fillId="0" borderId="0" xfId="0" applyFont="1"/>
    <xf numFmtId="0" fontId="12" fillId="2" borderId="0" xfId="0" applyFont="1" applyFill="1" applyAlignment="1">
      <alignment vertical="top"/>
    </xf>
    <xf numFmtId="0" fontId="4" fillId="0" borderId="0" xfId="0" applyFont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0" fillId="3" borderId="2" xfId="0" applyFill="1" applyBorder="1"/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5" fillId="0" borderId="1" xfId="0" applyFont="1" applyBorder="1"/>
    <xf numFmtId="0" fontId="0" fillId="0" borderId="1" xfId="0" applyBorder="1"/>
    <xf numFmtId="0" fontId="3" fillId="0" borderId="0" xfId="0" applyFont="1"/>
    <xf numFmtId="0" fontId="2" fillId="2" borderId="0" xfId="0" applyFont="1" applyFill="1" applyAlignment="1">
      <alignment vertical="center" wrapText="1" indent="1"/>
    </xf>
    <xf numFmtId="0" fontId="7" fillId="0" borderId="3" xfId="0" applyFont="1" applyBorder="1" applyAlignment="1">
      <alignment vertical="center" wrapText="1"/>
    </xf>
    <xf numFmtId="0" fontId="0" fillId="0" borderId="3" xfId="0" applyBorder="1"/>
    <xf numFmtId="0" fontId="8" fillId="0" borderId="3" xfId="0" applyFont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64748B"/>
        <name val="Arial"/>
      </font>
      <fill>
        <patternFill patternType="solid">
          <fgColor rgb="FFF1F5F9"/>
        </patternFill>
      </fill>
    </dxf>
    <dxf>
      <font>
        <b/>
        <color rgb="FF92400E"/>
        <name val="Arial"/>
      </font>
      <fill>
        <patternFill patternType="solid">
          <fgColor rgb="FFFEF3C7"/>
        </patternFill>
      </fill>
    </dxf>
    <dxf>
      <font>
        <b/>
        <color rgb="FF166534"/>
        <name val="Arial"/>
      </font>
      <fill>
        <patternFill patternType="solid">
          <fgColor rgb="FFECFD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2B4A"/>
    <pageSetUpPr fitToPage="1"/>
  </sheetPr>
  <dimension ref="A1:H43"/>
  <sheetViews>
    <sheetView showGridLines="0" tabSelected="1" workbookViewId="0"/>
  </sheetViews>
  <sheetFormatPr defaultRowHeight="14.5" x14ac:dyDescent="0.35"/>
  <cols>
    <col min="1" max="1" width="4" customWidth="1"/>
    <col min="2" max="2" width="5" customWidth="1"/>
    <col min="3" max="3" width="28" customWidth="1"/>
    <col min="4" max="4" width="46" customWidth="1"/>
    <col min="5" max="5" width="30" customWidth="1"/>
    <col min="6" max="6" width="15" customWidth="1"/>
    <col min="7" max="7" width="12" customWidth="1"/>
    <col min="8" max="8" width="4" customWidth="1"/>
  </cols>
  <sheetData>
    <row r="1" spans="1:8" ht="14" customHeight="1" x14ac:dyDescent="0.35">
      <c r="A1" s="1"/>
      <c r="B1" s="1"/>
      <c r="C1" s="1"/>
      <c r="D1" s="1"/>
      <c r="E1" s="1"/>
      <c r="F1" s="1"/>
      <c r="G1" s="1"/>
      <c r="H1" s="1"/>
    </row>
    <row r="2" spans="1:8" ht="36" customHeight="1" x14ac:dyDescent="0.35">
      <c r="A2" s="1"/>
      <c r="B2" s="27" t="s">
        <v>0</v>
      </c>
      <c r="C2" s="28"/>
      <c r="D2" s="28"/>
      <c r="E2" s="28"/>
      <c r="F2" s="28"/>
      <c r="G2" s="28"/>
      <c r="H2" s="1"/>
    </row>
    <row r="3" spans="1:8" ht="24" customHeight="1" x14ac:dyDescent="0.35">
      <c r="A3" s="1"/>
      <c r="B3" s="37" t="s">
        <v>1</v>
      </c>
      <c r="C3" s="28"/>
      <c r="D3" s="28"/>
      <c r="E3" s="28"/>
      <c r="F3" s="28"/>
      <c r="G3" s="28"/>
      <c r="H3" s="1"/>
    </row>
    <row r="4" spans="1:8" ht="26" customHeight="1" x14ac:dyDescent="0.35">
      <c r="A4" s="2"/>
      <c r="B4" s="35" t="s">
        <v>2</v>
      </c>
      <c r="C4" s="28"/>
      <c r="D4" s="28"/>
      <c r="E4" s="28"/>
      <c r="F4" s="28"/>
      <c r="G4" s="28"/>
      <c r="H4" s="2"/>
    </row>
    <row r="6" spans="1:8" x14ac:dyDescent="0.35">
      <c r="B6" s="34" t="s">
        <v>3</v>
      </c>
      <c r="C6" s="28"/>
      <c r="D6" s="28"/>
      <c r="E6" s="30" t="s">
        <v>4</v>
      </c>
      <c r="F6" s="28"/>
      <c r="G6" s="28"/>
    </row>
    <row r="7" spans="1:8" ht="24" customHeight="1" x14ac:dyDescent="0.35">
      <c r="B7" s="36" t="str">
        <f>IF('1. School Profile'!C6="","(fills in automatically from Sheet 1)",'1. School Profile'!C6)</f>
        <v>(fills in automatically from Sheet 1)</v>
      </c>
      <c r="C7" s="28"/>
      <c r="D7" s="28"/>
      <c r="E7" s="33" t="s">
        <v>5</v>
      </c>
      <c r="F7" s="28"/>
      <c r="G7" s="28"/>
    </row>
    <row r="9" spans="1:8" x14ac:dyDescent="0.35">
      <c r="B9" s="3" t="s">
        <v>6</v>
      </c>
      <c r="C9" s="4"/>
      <c r="D9" s="4"/>
      <c r="E9" s="4"/>
      <c r="F9" s="4"/>
      <c r="G9" s="4"/>
    </row>
    <row r="10" spans="1:8" ht="22" customHeight="1" x14ac:dyDescent="0.35">
      <c r="B10" s="5">
        <v>1</v>
      </c>
      <c r="C10" s="29" t="s">
        <v>7</v>
      </c>
      <c r="D10" s="28"/>
      <c r="E10" s="28"/>
      <c r="F10" s="28"/>
      <c r="G10" s="28"/>
    </row>
    <row r="11" spans="1:8" ht="22" customHeight="1" x14ac:dyDescent="0.35">
      <c r="B11" s="5">
        <v>2</v>
      </c>
      <c r="C11" s="29" t="s">
        <v>8</v>
      </c>
      <c r="D11" s="28"/>
      <c r="E11" s="28"/>
      <c r="F11" s="28"/>
      <c r="G11" s="28"/>
    </row>
    <row r="12" spans="1:8" ht="22" customHeight="1" x14ac:dyDescent="0.35">
      <c r="B12" s="5">
        <v>3</v>
      </c>
      <c r="C12" s="29" t="s">
        <v>9</v>
      </c>
      <c r="D12" s="28"/>
      <c r="E12" s="28"/>
      <c r="F12" s="28"/>
      <c r="G12" s="28"/>
    </row>
    <row r="13" spans="1:8" ht="22" customHeight="1" x14ac:dyDescent="0.35">
      <c r="B13" s="5">
        <v>4</v>
      </c>
      <c r="C13" s="29" t="s">
        <v>10</v>
      </c>
      <c r="D13" s="28"/>
      <c r="E13" s="28"/>
      <c r="F13" s="28"/>
      <c r="G13" s="28"/>
    </row>
    <row r="14" spans="1:8" ht="22" customHeight="1" x14ac:dyDescent="0.35">
      <c r="B14" s="5">
        <v>5</v>
      </c>
      <c r="C14" s="29" t="s">
        <v>11</v>
      </c>
      <c r="D14" s="28"/>
      <c r="E14" s="28"/>
      <c r="F14" s="28"/>
      <c r="G14" s="28"/>
    </row>
    <row r="15" spans="1:8" ht="22" customHeight="1" x14ac:dyDescent="0.35">
      <c r="B15" s="5">
        <v>6</v>
      </c>
      <c r="C15" s="29" t="s">
        <v>12</v>
      </c>
      <c r="D15" s="28"/>
      <c r="E15" s="28"/>
      <c r="F15" s="28"/>
      <c r="G15" s="28"/>
    </row>
    <row r="17" spans="2:7" x14ac:dyDescent="0.35">
      <c r="B17" s="3" t="s">
        <v>13</v>
      </c>
      <c r="C17" s="4"/>
      <c r="D17" s="4"/>
      <c r="E17" s="4"/>
      <c r="F17" s="4"/>
      <c r="G17" s="4"/>
    </row>
    <row r="18" spans="2:7" ht="20" customHeight="1" x14ac:dyDescent="0.35">
      <c r="B18" s="6"/>
      <c r="C18" s="29" t="s">
        <v>14</v>
      </c>
      <c r="D18" s="28"/>
      <c r="E18" s="28"/>
      <c r="F18" s="28"/>
      <c r="G18" s="28"/>
    </row>
    <row r="19" spans="2:7" ht="20" customHeight="1" x14ac:dyDescent="0.35">
      <c r="B19" s="7" t="s">
        <v>15</v>
      </c>
      <c r="C19" s="29" t="s">
        <v>16</v>
      </c>
      <c r="D19" s="28"/>
      <c r="E19" s="28"/>
      <c r="F19" s="28"/>
      <c r="G19" s="28"/>
    </row>
    <row r="20" spans="2:7" ht="20" customHeight="1" x14ac:dyDescent="0.35">
      <c r="B20" s="8"/>
      <c r="C20" s="29" t="s">
        <v>17</v>
      </c>
      <c r="D20" s="28"/>
      <c r="E20" s="28"/>
      <c r="F20" s="28"/>
      <c r="G20" s="28"/>
    </row>
    <row r="22" spans="2:7" x14ac:dyDescent="0.35">
      <c r="B22" s="3" t="s">
        <v>18</v>
      </c>
      <c r="C22" s="4"/>
      <c r="D22" s="4"/>
      <c r="E22" s="4"/>
      <c r="F22" s="4"/>
      <c r="G22" s="4"/>
    </row>
    <row r="23" spans="2:7" ht="24" customHeight="1" x14ac:dyDescent="0.35">
      <c r="B23" s="9" t="s">
        <v>19</v>
      </c>
      <c r="C23" s="9" t="s">
        <v>20</v>
      </c>
      <c r="D23" s="9" t="s">
        <v>21</v>
      </c>
      <c r="E23" s="9" t="s">
        <v>22</v>
      </c>
      <c r="F23" s="9" t="s">
        <v>23</v>
      </c>
      <c r="G23" s="9" t="s">
        <v>24</v>
      </c>
    </row>
    <row r="24" spans="2:7" ht="22" customHeight="1" x14ac:dyDescent="0.35">
      <c r="B24" s="10">
        <v>1</v>
      </c>
      <c r="C24" s="11" t="s">
        <v>25</v>
      </c>
      <c r="D24" s="12" t="s">
        <v>26</v>
      </c>
      <c r="E24" s="13" t="str">
        <f>(COUNTA('1. School Profile'!C6:C14)+COUNTA('1. School Profile'!C17:C27)+COUNTA('1. School Profile'!C30:C35)+COUNTA('1. School Profile'!C38:C42)+COUNTA('1. School Profile'!C45:C47))&amp;" of 34 answers"</f>
        <v>0 of 34 answers</v>
      </c>
      <c r="F24" s="14" t="str">
        <f>IF(AND((COUNTA('1. School Profile'!C6:C14)+COUNTA('1. School Profile'!C17:C27)+COUNTA('1. School Profile'!C30:C35)+COUNTA('1. School Profile'!C38:C42)+COUNTA('1. School Profile'!C45:C47))&gt;=34),"Complete",IF(OR((COUNTA('1. School Profile'!C6:C14)+COUNTA('1. School Profile'!C17:C27)+COUNTA('1. School Profile'!C30:C35)+COUNTA('1. School Profile'!C38:C42)+COUNTA('1. School Profile'!C45:C47))&gt;0),"In progress","Not started"))</f>
        <v>Not started</v>
      </c>
      <c r="G24" s="15" t="str">
        <f>HYPERLINK("#'1. School Profile'!A1","Open →")</f>
        <v>Open →</v>
      </c>
    </row>
    <row r="25" spans="2:7" ht="22" customHeight="1" x14ac:dyDescent="0.35">
      <c r="B25" s="10">
        <v>2</v>
      </c>
      <c r="C25" s="11" t="s">
        <v>27</v>
      </c>
      <c r="D25" s="12" t="s">
        <v>28</v>
      </c>
      <c r="E25" s="13" t="str">
        <f>COUNTA('2. Modules'!D8:D21)&amp;" of 14 decided"</f>
        <v>0 of 14 decided</v>
      </c>
      <c r="F25" s="14" t="str">
        <f>IF(AND(COUNTA('2. Modules'!D8:D21)&gt;=14),"Complete",IF(OR(COUNTA('2. Modules'!D8:D21)&gt;0),"In progress","Not started"))</f>
        <v>Not started</v>
      </c>
      <c r="G25" s="15" t="str">
        <f>HYPERLINK("#'2. Modules'!A1","Open →")</f>
        <v>Open →</v>
      </c>
    </row>
    <row r="26" spans="2:7" ht="22" customHeight="1" x14ac:dyDescent="0.35">
      <c r="B26" s="10">
        <v>3</v>
      </c>
      <c r="C26" s="11" t="s">
        <v>29</v>
      </c>
      <c r="D26" s="12" t="s">
        <v>30</v>
      </c>
      <c r="E26" s="13" t="str">
        <f>COUNTA('3. Classes'!A8:A47)&amp;IF(COUNTA('3. Classes'!A8:A47)=1," row"," rows")</f>
        <v>0 rows</v>
      </c>
      <c r="F26" s="14" t="str">
        <f>IF(AND(COUNTA('3. Classes'!A8:A47)&gt;0),"Complete",IF(OR(COUNTA('3. Classes'!A8:A47)&gt;0),"In progress","Not started"))</f>
        <v>Not started</v>
      </c>
      <c r="G26" s="15" t="str">
        <f>HYPERLINK("#'3. Classes'!A1","Open →")</f>
        <v>Open →</v>
      </c>
    </row>
    <row r="27" spans="2:7" ht="22" customHeight="1" x14ac:dyDescent="0.35">
      <c r="B27" s="10">
        <v>4</v>
      </c>
      <c r="C27" s="11" t="s">
        <v>31</v>
      </c>
      <c r="D27" s="12" t="s">
        <v>32</v>
      </c>
      <c r="E27" s="13" t="str">
        <f>COUNTA('4. Subjects'!A8:A42)&amp;IF(COUNTA('4. Subjects'!A8:A42)=1," row"," rows")</f>
        <v>0 rows</v>
      </c>
      <c r="F27" s="14" t="str">
        <f>IF(AND(COUNTA('4. Subjects'!A8:A42)&gt;0),"Complete",IF(OR(COUNTA('4. Subjects'!A8:A42)&gt;0),"In progress","Not started"))</f>
        <v>Not started</v>
      </c>
      <c r="G27" s="15" t="str">
        <f>HYPERLINK("#'4. Subjects'!A1","Open →")</f>
        <v>Open →</v>
      </c>
    </row>
    <row r="28" spans="2:7" ht="22" customHeight="1" x14ac:dyDescent="0.35">
      <c r="B28" s="10">
        <v>5</v>
      </c>
      <c r="C28" s="11" t="s">
        <v>33</v>
      </c>
      <c r="D28" s="12" t="s">
        <v>34</v>
      </c>
      <c r="E28" s="13" t="str">
        <f>COUNTA('5. Staff'!A9:A68)&amp;IF(COUNTA('5. Staff'!A9:A68)=1," row"," rows")</f>
        <v>0 rows</v>
      </c>
      <c r="F28" s="14" t="str">
        <f>IF(AND(COUNTA('5. Staff'!A9:A68)&gt;0),"Complete",IF(OR(COUNTA('5. Staff'!A9:A68)&gt;0),"In progress","Not started"))</f>
        <v>Not started</v>
      </c>
      <c r="G28" s="15" t="str">
        <f>HYPERLINK("#'5. Staff'!A1","Open →")</f>
        <v>Open →</v>
      </c>
    </row>
    <row r="29" spans="2:7" ht="22" customHeight="1" x14ac:dyDescent="0.35">
      <c r="B29" s="10">
        <v>6</v>
      </c>
      <c r="C29" s="11" t="s">
        <v>35</v>
      </c>
      <c r="D29" s="12" t="s">
        <v>36</v>
      </c>
      <c r="E29" s="13" t="str">
        <f>(COUNTA('6. Timetable'!C6:C10))&amp;" of 5 answers"&amp;"  ·  "&amp;COUNTA('6. Timetable'!A16:A30)&amp;IF(COUNTA('6. Timetable'!A16:A30)=1," row"," rows")</f>
        <v>0 of 5 answers  ·  0 rows</v>
      </c>
      <c r="F29" s="14" t="str">
        <f>IF(AND((COUNTA('6. Timetable'!C6:C10))&gt;=5,COUNTA('6. Timetable'!A16:A30)&gt;0),"Complete",IF(OR((COUNTA('6. Timetable'!C6:C10))&gt;0,COUNTA('6. Timetable'!A16:A30)&gt;0),"In progress","Not started"))</f>
        <v>Not started</v>
      </c>
      <c r="G29" s="15" t="str">
        <f>HYPERLINK("#'6. Timetable'!A1","Open →")</f>
        <v>Open →</v>
      </c>
    </row>
    <row r="30" spans="2:7" ht="22" customHeight="1" x14ac:dyDescent="0.35">
      <c r="B30" s="10">
        <v>7</v>
      </c>
      <c r="C30" s="11" t="s">
        <v>37</v>
      </c>
      <c r="D30" s="12" t="s">
        <v>38</v>
      </c>
      <c r="E30" s="13" t="str">
        <f>(COUNTA('7. Fees'!C6:C10))&amp;" of 5 answers"&amp;"  ·  "&amp;COUNTA('7. Fees'!A16:A45)&amp;IF(COUNTA('7. Fees'!A16:A45)=1," row"," rows")</f>
        <v>0 of 5 answers  ·  0 rows</v>
      </c>
      <c r="F30" s="14" t="str">
        <f>IF(AND((COUNTA('7. Fees'!C6:C10))&gt;=5,COUNTA('7. Fees'!A16:A45)&gt;0),"Complete",IF(OR((COUNTA('7. Fees'!C6:C10))&gt;0,COUNTA('7. Fees'!A16:A45)&gt;0),"In progress","Not started"))</f>
        <v>Not started</v>
      </c>
      <c r="G30" s="15" t="str">
        <f>HYPERLINK("#'7. Fees'!A1","Open →")</f>
        <v>Open →</v>
      </c>
    </row>
    <row r="31" spans="2:7" ht="22" customHeight="1" x14ac:dyDescent="0.35">
      <c r="B31" s="10">
        <v>8</v>
      </c>
      <c r="C31" s="11" t="s">
        <v>39</v>
      </c>
      <c r="D31" s="12" t="s">
        <v>40</v>
      </c>
      <c r="E31" s="13" t="str">
        <f>(COUNTA('8. Admissions'!C6:C14))&amp;" of 9 answers"&amp;"  ·  "&amp;COUNTA('8. Admissions'!A19:A33)&amp;IF(COUNTA('8. Admissions'!A19:A33)=1," row"," rows")</f>
        <v>0 of 9 answers  ·  0 rows</v>
      </c>
      <c r="F31" s="14" t="str">
        <f>IF(AND((COUNTA('8. Admissions'!C6:C14))&gt;=9,COUNTA('8. Admissions'!A19:A33)&gt;0),"Complete",IF(OR((COUNTA('8. Admissions'!C6:C14))&gt;0,COUNTA('8. Admissions'!A19:A33)&gt;0),"In progress","Not started"))</f>
        <v>Not started</v>
      </c>
      <c r="G31" s="15" t="str">
        <f>HYPERLINK("#'8. Admissions'!A1","Open →")</f>
        <v>Open →</v>
      </c>
    </row>
    <row r="32" spans="2:7" ht="22" customHeight="1" x14ac:dyDescent="0.35">
      <c r="B32" s="10">
        <v>9</v>
      </c>
      <c r="C32" s="11" t="s">
        <v>41</v>
      </c>
      <c r="D32" s="12" t="s">
        <v>42</v>
      </c>
      <c r="E32" s="13" t="str">
        <f>(COUNTA('9. Hostel'!C6:C8))&amp;" of 3 answers"&amp;"  ·  "&amp;COUNTA('9. Hostel'!A13:A22)&amp;IF(COUNTA('9. Hostel'!A13:A22)=1," row"," rows")</f>
        <v>0 of 3 answers  ·  0 rows</v>
      </c>
      <c r="F32" s="14" t="str">
        <f>IF(AND((COUNTA('9. Hostel'!C6:C8))&gt;=3,COUNTA('9. Hostel'!A13:A22)&gt;0),"Complete",IF(OR((COUNTA('9. Hostel'!C6:C8))&gt;0,COUNTA('9. Hostel'!A13:A22)&gt;0),"In progress","Not started"))</f>
        <v>Not started</v>
      </c>
      <c r="G32" s="15" t="str">
        <f>HYPERLINK("#'9. Hostel'!A1","Open →")</f>
        <v>Open →</v>
      </c>
    </row>
    <row r="33" spans="2:7" ht="22" customHeight="1" x14ac:dyDescent="0.35">
      <c r="B33" s="10">
        <v>10</v>
      </c>
      <c r="C33" s="11" t="s">
        <v>43</v>
      </c>
      <c r="D33" s="12" t="s">
        <v>44</v>
      </c>
      <c r="E33" s="13" t="str">
        <f>(COUNTA('10. Attendance &amp; Leave'!C6:C10))&amp;" of 5 answers"&amp;"  ·  "&amp;COUNTA('10. Attendance &amp; Leave'!A15:A26)&amp;IF(COUNTA('10. Attendance &amp; Leave'!A15:A26)=1," row"," rows")</f>
        <v>0 of 5 answers  ·  0 rows</v>
      </c>
      <c r="F33" s="14" t="str">
        <f>IF(AND((COUNTA('10. Attendance &amp; Leave'!C6:C10))&gt;=5,COUNTA('10. Attendance &amp; Leave'!A15:A26)&gt;0),"Complete",IF(OR((COUNTA('10. Attendance &amp; Leave'!C6:C10))&gt;0,COUNTA('10. Attendance &amp; Leave'!A15:A26)&gt;0),"In progress","Not started"))</f>
        <v>Not started</v>
      </c>
      <c r="G33" s="15" t="str">
        <f>HYPERLINK("#'10. Attendance &amp; Leave'!A1","Open →")</f>
        <v>Open →</v>
      </c>
    </row>
    <row r="34" spans="2:7" ht="22" customHeight="1" x14ac:dyDescent="0.35">
      <c r="B34" s="10">
        <v>11</v>
      </c>
      <c r="C34" s="11" t="s">
        <v>45</v>
      </c>
      <c r="D34" s="12" t="s">
        <v>46</v>
      </c>
      <c r="E34" s="13" t="str">
        <f>(COUNTA('11. Exams'!C6:C8))&amp;" of 3 answers"&amp;"  ·  "&amp;COUNTA('11. Exams'!A13:A24)&amp;IF(COUNTA('11. Exams'!A13:A24)=1," row"," rows")</f>
        <v>0 of 3 answers  ·  0 rows</v>
      </c>
      <c r="F34" s="14" t="str">
        <f>IF(AND((COUNTA('11. Exams'!C6:C8))&gt;=3,COUNTA('11. Exams'!A13:A24)&gt;0),"Complete",IF(OR((COUNTA('11. Exams'!C6:C8))&gt;0,COUNTA('11. Exams'!A13:A24)&gt;0),"In progress","Not started"))</f>
        <v>Not started</v>
      </c>
      <c r="G34" s="15" t="str">
        <f>HYPERLINK("#'11. Exams'!A1","Open →")</f>
        <v>Open →</v>
      </c>
    </row>
    <row r="35" spans="2:7" ht="22" customHeight="1" x14ac:dyDescent="0.35">
      <c r="B35" s="10">
        <v>12</v>
      </c>
      <c r="C35" s="11" t="s">
        <v>47</v>
      </c>
      <c r="D35" s="12" t="s">
        <v>48</v>
      </c>
      <c r="E35" s="13" t="str">
        <f>COUNTA('12. Grading'!A9:A20)&amp;IF(COUNTA('12. Grading'!A9:A20)=1," row"," rows")</f>
        <v>0 rows</v>
      </c>
      <c r="F35" s="14" t="str">
        <f>IF(AND(COUNTA('12. Grading'!A9:A20)&gt;0),"Complete",IF(OR(COUNTA('12. Grading'!A9:A20)&gt;0),"In progress","Not started"))</f>
        <v>Not started</v>
      </c>
      <c r="G35" s="15" t="str">
        <f>HYPERLINK("#'12. Grading'!A1","Open →")</f>
        <v>Open →</v>
      </c>
    </row>
    <row r="36" spans="2:7" ht="22" customHeight="1" x14ac:dyDescent="0.35">
      <c r="B36" s="10">
        <v>13</v>
      </c>
      <c r="C36" s="11" t="s">
        <v>49</v>
      </c>
      <c r="D36" s="12" t="s">
        <v>50</v>
      </c>
      <c r="E36" s="13" t="str">
        <f>(COUNTA('13. Notifications'!C6:C9))&amp;" of 4 answers"&amp;"  ·  "&amp;COUNTA('13. Notifications'!C14:C24)&amp;" of 11 decided"</f>
        <v>0 of 4 answers  ·  0 of 11 decided</v>
      </c>
      <c r="F36" s="14" t="str">
        <f>IF(AND((COUNTA('13. Notifications'!C6:C9))&gt;=4,COUNTA('13. Notifications'!C14:C24)&gt;=11),"Complete",IF(OR((COUNTA('13. Notifications'!C6:C9))&gt;0,COUNTA('13. Notifications'!C14:C24)&gt;0),"In progress","Not started"))</f>
        <v>Not started</v>
      </c>
      <c r="G36" s="15" t="str">
        <f>HYPERLINK("#'13. Notifications'!A1","Open →")</f>
        <v>Open →</v>
      </c>
    </row>
    <row r="37" spans="2:7" ht="22" customHeight="1" x14ac:dyDescent="0.35">
      <c r="B37" s="10">
        <v>14</v>
      </c>
      <c r="C37" s="11" t="s">
        <v>51</v>
      </c>
      <c r="D37" s="12" t="s">
        <v>52</v>
      </c>
      <c r="E37" s="13" t="str">
        <f>COUNTA('14. Existing Data'!C8:C17)&amp;" of 10 decided"</f>
        <v>0 of 10 decided</v>
      </c>
      <c r="F37" s="14" t="str">
        <f>IF(AND(COUNTA('14. Existing Data'!C8:C17)&gt;=10),"Complete",IF(OR(COUNTA('14. Existing Data'!C8:C17)&gt;0),"In progress","Not started"))</f>
        <v>Not started</v>
      </c>
      <c r="G37" s="15" t="str">
        <f>HYPERLINK("#'14. Existing Data'!A1","Open →")</f>
        <v>Open →</v>
      </c>
    </row>
    <row r="38" spans="2:7" ht="22" customHeight="1" x14ac:dyDescent="0.35">
      <c r="B38" s="10">
        <v>15</v>
      </c>
      <c r="C38" s="11" t="s">
        <v>53</v>
      </c>
      <c r="D38" s="12" t="s">
        <v>54</v>
      </c>
      <c r="E38" s="13" t="str">
        <f>COUNTA('15. Reports'!A8:A27)&amp;IF(COUNTA('15. Reports'!A8:A27)=1," row"," rows")</f>
        <v>0 rows</v>
      </c>
      <c r="F38" s="14" t="str">
        <f>IF(AND(COUNTA('15. Reports'!A8:A27)&gt;0),"Complete",IF(OR(COUNTA('15. Reports'!A8:A27)&gt;0),"In progress","Not started"))</f>
        <v>Not started</v>
      </c>
      <c r="G38" s="15" t="str">
        <f>HYPERLINK("#'15. Reports'!A1","Open →")</f>
        <v>Open →</v>
      </c>
    </row>
    <row r="39" spans="2:7" ht="22" customHeight="1" x14ac:dyDescent="0.35">
      <c r="B39" s="10">
        <v>16</v>
      </c>
      <c r="C39" s="11" t="s">
        <v>55</v>
      </c>
      <c r="D39" s="12" t="s">
        <v>56</v>
      </c>
      <c r="E39" s="13" t="str">
        <f>(COUNTA('16. Questions &amp; Sign-off'!C25:C28))&amp;" of 4 answers"&amp;"  ·  "&amp;COUNTA('16. Questions &amp; Sign-off'!B8:B22)&amp;IF(COUNTA('16. Questions &amp; Sign-off'!B8:B22)=1," row"," rows")</f>
        <v>0 of 4 answers  ·  0 rows</v>
      </c>
      <c r="F39" s="14" t="str">
        <f>IF(AND((COUNTA('16. Questions &amp; Sign-off'!C25:C28))&gt;=4,COUNTA('16. Questions &amp; Sign-off'!B8:B22)&gt;0),"Complete",IF(OR((COUNTA('16. Questions &amp; Sign-off'!C25:C28))&gt;0,COUNTA('16. Questions &amp; Sign-off'!B8:B22)&gt;0),"In progress","Not started"))</f>
        <v>Not started</v>
      </c>
      <c r="G39" s="15" t="str">
        <f>HYPERLINK("#'16. Questions &amp; Sign-off'!A1","Open →")</f>
        <v>Open →</v>
      </c>
    </row>
    <row r="41" spans="2:7" ht="26" customHeight="1" x14ac:dyDescent="0.35">
      <c r="B41" s="31" t="s">
        <v>57</v>
      </c>
      <c r="C41" s="28"/>
      <c r="D41" s="28"/>
      <c r="E41" s="28"/>
      <c r="F41" s="32" t="str">
        <f>COUNTIF(F24:F39,"Complete")&amp;" of 16"</f>
        <v>0 of 16</v>
      </c>
      <c r="G41" s="28"/>
    </row>
    <row r="43" spans="2:7" x14ac:dyDescent="0.35">
      <c r="B43" s="38" t="s">
        <v>58</v>
      </c>
      <c r="C43" s="28"/>
      <c r="D43" s="28"/>
      <c r="E43" s="28"/>
      <c r="F43" s="28"/>
      <c r="G43" s="28"/>
    </row>
  </sheetData>
  <mergeCells count="19">
    <mergeCell ref="B43:G43"/>
    <mergeCell ref="C13:G13"/>
    <mergeCell ref="C18:G18"/>
    <mergeCell ref="B2:G2"/>
    <mergeCell ref="C15:G15"/>
    <mergeCell ref="C14:G14"/>
    <mergeCell ref="E6:G6"/>
    <mergeCell ref="B41:E41"/>
    <mergeCell ref="C20:G20"/>
    <mergeCell ref="C10:G10"/>
    <mergeCell ref="F41:G41"/>
    <mergeCell ref="E7:G7"/>
    <mergeCell ref="B6:D6"/>
    <mergeCell ref="C12:G12"/>
    <mergeCell ref="C11:G11"/>
    <mergeCell ref="B4:G4"/>
    <mergeCell ref="B7:D7"/>
    <mergeCell ref="B3:G3"/>
    <mergeCell ref="C19:G19"/>
  </mergeCells>
  <conditionalFormatting sqref="F24:F39">
    <cfRule type="expression" dxfId="2" priority="1">
      <formula>F24="Complete"</formula>
    </cfRule>
    <cfRule type="expression" dxfId="1" priority="2">
      <formula>F24="In progress"</formula>
    </cfRule>
    <cfRule type="expression" dxfId="0" priority="3">
      <formula>F24="Not started"</formula>
    </cfRule>
  </conditionalFormatting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5A85"/>
    <pageSetUpPr fitToPage="1"/>
  </sheetPr>
  <dimension ref="A1:E47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34" customWidth="1"/>
    <col min="3" max="4" width="26" customWidth="1"/>
    <col min="5" max="5" width="44" customWidth="1"/>
  </cols>
  <sheetData>
    <row r="1" spans="1:5" ht="34" customHeight="1" x14ac:dyDescent="0.35">
      <c r="A1" s="41" t="s">
        <v>59</v>
      </c>
      <c r="B1" s="42"/>
      <c r="C1" s="42"/>
      <c r="D1" s="42"/>
      <c r="E1" s="42"/>
    </row>
    <row r="2" spans="1:5" ht="30" customHeight="1" x14ac:dyDescent="0.35">
      <c r="A2" s="46" t="s">
        <v>60</v>
      </c>
      <c r="B2" s="42"/>
      <c r="C2" s="42"/>
      <c r="D2" s="42"/>
      <c r="E2" s="42"/>
    </row>
    <row r="3" spans="1:5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5" ht="22" customHeight="1" x14ac:dyDescent="0.35">
      <c r="A5" s="43" t="s">
        <v>62</v>
      </c>
      <c r="B5" s="44"/>
      <c r="C5" s="44"/>
      <c r="D5" s="44"/>
      <c r="E5" s="44"/>
    </row>
    <row r="6" spans="1:5" ht="24" customHeight="1" x14ac:dyDescent="0.35">
      <c r="A6" s="17">
        <v>1</v>
      </c>
      <c r="B6" s="18" t="s">
        <v>63</v>
      </c>
      <c r="C6" s="39"/>
      <c r="D6" s="40"/>
      <c r="E6" s="20" t="s">
        <v>64</v>
      </c>
    </row>
    <row r="7" spans="1:5" ht="24" customHeight="1" x14ac:dyDescent="0.35">
      <c r="A7" s="17">
        <v>2</v>
      </c>
      <c r="B7" s="21" t="s">
        <v>65</v>
      </c>
      <c r="C7" s="39"/>
      <c r="D7" s="40"/>
      <c r="E7" s="20" t="s">
        <v>66</v>
      </c>
    </row>
    <row r="8" spans="1:5" ht="24" customHeight="1" x14ac:dyDescent="0.35">
      <c r="A8" s="17">
        <v>3</v>
      </c>
      <c r="B8" s="18" t="s">
        <v>67</v>
      </c>
      <c r="C8" s="39"/>
      <c r="D8" s="40"/>
      <c r="E8" s="20" t="s">
        <v>68</v>
      </c>
    </row>
    <row r="9" spans="1:5" ht="24" customHeight="1" x14ac:dyDescent="0.35">
      <c r="A9" s="17">
        <v>4</v>
      </c>
      <c r="B9" s="21" t="s">
        <v>69</v>
      </c>
      <c r="C9" s="39"/>
      <c r="D9" s="40"/>
      <c r="E9" s="20" t="s">
        <v>70</v>
      </c>
    </row>
    <row r="10" spans="1:5" ht="24" customHeight="1" x14ac:dyDescent="0.35">
      <c r="A10" s="17">
        <v>5</v>
      </c>
      <c r="B10" s="21" t="s">
        <v>71</v>
      </c>
      <c r="C10" s="39"/>
      <c r="D10" s="40"/>
      <c r="E10" s="20" t="s">
        <v>72</v>
      </c>
    </row>
    <row r="11" spans="1:5" ht="24" customHeight="1" x14ac:dyDescent="0.35">
      <c r="A11" s="17">
        <v>6</v>
      </c>
      <c r="B11" s="18" t="s">
        <v>73</v>
      </c>
      <c r="C11" s="39"/>
      <c r="D11" s="40"/>
      <c r="E11" s="20" t="s">
        <v>74</v>
      </c>
    </row>
    <row r="12" spans="1:5" ht="24" customHeight="1" x14ac:dyDescent="0.35">
      <c r="A12" s="17">
        <v>7</v>
      </c>
      <c r="B12" s="18" t="s">
        <v>75</v>
      </c>
      <c r="C12" s="39"/>
      <c r="D12" s="40"/>
      <c r="E12" s="20" t="s">
        <v>76</v>
      </c>
    </row>
    <row r="13" spans="1:5" ht="24" customHeight="1" x14ac:dyDescent="0.35">
      <c r="A13" s="17">
        <v>8</v>
      </c>
      <c r="B13" s="21" t="s">
        <v>77</v>
      </c>
      <c r="C13" s="39"/>
      <c r="D13" s="40"/>
      <c r="E13" s="20" t="s">
        <v>78</v>
      </c>
    </row>
    <row r="14" spans="1:5" ht="24" customHeight="1" x14ac:dyDescent="0.35">
      <c r="A14" s="17">
        <v>9</v>
      </c>
      <c r="B14" s="21" t="s">
        <v>79</v>
      </c>
      <c r="C14" s="39"/>
      <c r="D14" s="40"/>
      <c r="E14" s="20" t="s">
        <v>80</v>
      </c>
    </row>
    <row r="16" spans="1:5" ht="22" customHeight="1" x14ac:dyDescent="0.35">
      <c r="A16" s="43" t="s">
        <v>81</v>
      </c>
      <c r="B16" s="44"/>
      <c r="C16" s="44"/>
      <c r="D16" s="44"/>
      <c r="E16" s="44"/>
    </row>
    <row r="17" spans="1:5" ht="24" customHeight="1" x14ac:dyDescent="0.35">
      <c r="A17" s="17">
        <v>1</v>
      </c>
      <c r="B17" s="18" t="s">
        <v>82</v>
      </c>
      <c r="C17" s="39"/>
      <c r="D17" s="40"/>
      <c r="E17" s="20" t="s">
        <v>83</v>
      </c>
    </row>
    <row r="18" spans="1:5" ht="24" customHeight="1" x14ac:dyDescent="0.35">
      <c r="A18" s="17">
        <v>2</v>
      </c>
      <c r="B18" s="18" t="s">
        <v>84</v>
      </c>
      <c r="C18" s="39"/>
      <c r="D18" s="40"/>
      <c r="E18" s="20"/>
    </row>
    <row r="19" spans="1:5" ht="24" customHeight="1" x14ac:dyDescent="0.35">
      <c r="A19" s="17">
        <v>3</v>
      </c>
      <c r="B19" s="18" t="s">
        <v>85</v>
      </c>
      <c r="C19" s="39"/>
      <c r="D19" s="40"/>
      <c r="E19" s="20"/>
    </row>
    <row r="20" spans="1:5" ht="24" customHeight="1" x14ac:dyDescent="0.35">
      <c r="A20" s="17">
        <v>4</v>
      </c>
      <c r="B20" s="18" t="s">
        <v>86</v>
      </c>
      <c r="C20" s="39"/>
      <c r="D20" s="40"/>
      <c r="E20" s="20" t="s">
        <v>87</v>
      </c>
    </row>
    <row r="21" spans="1:5" ht="24" customHeight="1" x14ac:dyDescent="0.35">
      <c r="A21" s="17">
        <v>5</v>
      </c>
      <c r="B21" s="18" t="s">
        <v>88</v>
      </c>
      <c r="C21" s="39"/>
      <c r="D21" s="40"/>
      <c r="E21" s="20" t="s">
        <v>89</v>
      </c>
    </row>
    <row r="22" spans="1:5" ht="24" customHeight="1" x14ac:dyDescent="0.35">
      <c r="A22" s="17">
        <v>6</v>
      </c>
      <c r="B22" s="18" t="s">
        <v>90</v>
      </c>
      <c r="C22" s="39"/>
      <c r="D22" s="40"/>
      <c r="E22" s="20" t="s">
        <v>91</v>
      </c>
    </row>
    <row r="23" spans="1:5" ht="24" customHeight="1" x14ac:dyDescent="0.35">
      <c r="A23" s="17">
        <v>7</v>
      </c>
      <c r="B23" s="18" t="s">
        <v>92</v>
      </c>
      <c r="C23" s="39"/>
      <c r="D23" s="40"/>
      <c r="E23" s="20" t="s">
        <v>93</v>
      </c>
    </row>
    <row r="24" spans="1:5" ht="24" customHeight="1" x14ac:dyDescent="0.35">
      <c r="A24" s="17">
        <v>8</v>
      </c>
      <c r="B24" s="18" t="s">
        <v>94</v>
      </c>
      <c r="C24" s="39"/>
      <c r="D24" s="40"/>
      <c r="E24" s="20"/>
    </row>
    <row r="25" spans="1:5" ht="24" customHeight="1" x14ac:dyDescent="0.35">
      <c r="A25" s="17">
        <v>9</v>
      </c>
      <c r="B25" s="21" t="s">
        <v>95</v>
      </c>
      <c r="C25" s="39"/>
      <c r="D25" s="40"/>
      <c r="E25" s="20" t="s">
        <v>96</v>
      </c>
    </row>
    <row r="26" spans="1:5" ht="24" customHeight="1" x14ac:dyDescent="0.35">
      <c r="A26" s="17">
        <v>10</v>
      </c>
      <c r="B26" s="18" t="s">
        <v>97</v>
      </c>
      <c r="C26" s="39"/>
      <c r="D26" s="40"/>
      <c r="E26" s="20" t="s">
        <v>98</v>
      </c>
    </row>
    <row r="27" spans="1:5" ht="24" customHeight="1" x14ac:dyDescent="0.35">
      <c r="A27" s="17">
        <v>11</v>
      </c>
      <c r="B27" s="18" t="s">
        <v>99</v>
      </c>
      <c r="C27" s="39"/>
      <c r="D27" s="40"/>
      <c r="E27" s="20" t="s">
        <v>100</v>
      </c>
    </row>
    <row r="29" spans="1:5" ht="22" customHeight="1" x14ac:dyDescent="0.35">
      <c r="A29" s="43" t="s">
        <v>101</v>
      </c>
      <c r="B29" s="44"/>
      <c r="C29" s="44"/>
      <c r="D29" s="44"/>
      <c r="E29" s="44"/>
    </row>
    <row r="30" spans="1:5" ht="24" customHeight="1" x14ac:dyDescent="0.35">
      <c r="A30" s="17">
        <v>1</v>
      </c>
      <c r="B30" s="18" t="s">
        <v>102</v>
      </c>
      <c r="C30" s="39"/>
      <c r="D30" s="40"/>
      <c r="E30" s="20" t="s">
        <v>103</v>
      </c>
    </row>
    <row r="31" spans="1:5" ht="24" customHeight="1" x14ac:dyDescent="0.35">
      <c r="A31" s="17">
        <v>2</v>
      </c>
      <c r="B31" s="18" t="s">
        <v>104</v>
      </c>
      <c r="C31" s="39"/>
      <c r="D31" s="40"/>
      <c r="E31" s="20" t="s">
        <v>105</v>
      </c>
    </row>
    <row r="32" spans="1:5" ht="24" customHeight="1" x14ac:dyDescent="0.35">
      <c r="A32" s="17">
        <v>3</v>
      </c>
      <c r="B32" s="18" t="s">
        <v>106</v>
      </c>
      <c r="C32" s="39"/>
      <c r="D32" s="40"/>
      <c r="E32" s="20" t="s">
        <v>107</v>
      </c>
    </row>
    <row r="33" spans="1:5" ht="24" customHeight="1" x14ac:dyDescent="0.35">
      <c r="A33" s="17">
        <v>4</v>
      </c>
      <c r="B33" s="18" t="s">
        <v>108</v>
      </c>
      <c r="C33" s="39"/>
      <c r="D33" s="40"/>
      <c r="E33" s="20" t="s">
        <v>109</v>
      </c>
    </row>
    <row r="34" spans="1:5" ht="24" customHeight="1" x14ac:dyDescent="0.35">
      <c r="A34" s="17">
        <v>5</v>
      </c>
      <c r="B34" s="18" t="s">
        <v>110</v>
      </c>
      <c r="C34" s="39"/>
      <c r="D34" s="40"/>
      <c r="E34" s="20" t="s">
        <v>111</v>
      </c>
    </row>
    <row r="35" spans="1:5" ht="24" customHeight="1" x14ac:dyDescent="0.35">
      <c r="A35" s="17">
        <v>6</v>
      </c>
      <c r="B35" s="18" t="s">
        <v>112</v>
      </c>
      <c r="C35" s="39"/>
      <c r="D35" s="40"/>
      <c r="E35" s="20" t="s">
        <v>113</v>
      </c>
    </row>
    <row r="37" spans="1:5" ht="22" customHeight="1" x14ac:dyDescent="0.35">
      <c r="A37" s="43" t="s">
        <v>114</v>
      </c>
      <c r="B37" s="44"/>
      <c r="C37" s="44"/>
      <c r="D37" s="44"/>
      <c r="E37" s="44"/>
    </row>
    <row r="38" spans="1:5" ht="24" customHeight="1" x14ac:dyDescent="0.35">
      <c r="A38" s="17">
        <v>1</v>
      </c>
      <c r="B38" s="18" t="s">
        <v>115</v>
      </c>
      <c r="C38" s="39"/>
      <c r="D38" s="40"/>
      <c r="E38" s="20" t="s">
        <v>116</v>
      </c>
    </row>
    <row r="39" spans="1:5" ht="24" customHeight="1" x14ac:dyDescent="0.35">
      <c r="A39" s="17">
        <v>2</v>
      </c>
      <c r="B39" s="18" t="s">
        <v>117</v>
      </c>
      <c r="C39" s="39"/>
      <c r="D39" s="40"/>
      <c r="E39" s="20" t="s">
        <v>118</v>
      </c>
    </row>
    <row r="40" spans="1:5" ht="24" customHeight="1" x14ac:dyDescent="0.35">
      <c r="A40" s="17">
        <v>3</v>
      </c>
      <c r="B40" s="21" t="s">
        <v>119</v>
      </c>
      <c r="C40" s="39"/>
      <c r="D40" s="40"/>
      <c r="E40" s="20" t="s">
        <v>120</v>
      </c>
    </row>
    <row r="41" spans="1:5" ht="24" customHeight="1" x14ac:dyDescent="0.35">
      <c r="A41" s="17">
        <v>4</v>
      </c>
      <c r="B41" s="18" t="s">
        <v>121</v>
      </c>
      <c r="C41" s="39"/>
      <c r="D41" s="40"/>
      <c r="E41" s="20"/>
    </row>
    <row r="42" spans="1:5" ht="24" customHeight="1" x14ac:dyDescent="0.35">
      <c r="A42" s="17">
        <v>5</v>
      </c>
      <c r="B42" s="18" t="s">
        <v>122</v>
      </c>
      <c r="C42" s="39"/>
      <c r="D42" s="40"/>
      <c r="E42" s="20"/>
    </row>
    <row r="44" spans="1:5" ht="22" customHeight="1" x14ac:dyDescent="0.35">
      <c r="A44" s="43" t="s">
        <v>123</v>
      </c>
      <c r="B44" s="44"/>
      <c r="C44" s="44"/>
      <c r="D44" s="44"/>
      <c r="E44" s="44"/>
    </row>
    <row r="45" spans="1:5" ht="24" customHeight="1" x14ac:dyDescent="0.35">
      <c r="A45" s="17">
        <v>1</v>
      </c>
      <c r="B45" s="21" t="s">
        <v>124</v>
      </c>
      <c r="C45" s="39"/>
      <c r="D45" s="40"/>
      <c r="E45" s="20" t="s">
        <v>125</v>
      </c>
    </row>
    <row r="46" spans="1:5" ht="24" customHeight="1" x14ac:dyDescent="0.35">
      <c r="A46" s="17">
        <v>2</v>
      </c>
      <c r="B46" s="21" t="s">
        <v>126</v>
      </c>
      <c r="C46" s="39"/>
      <c r="D46" s="40"/>
      <c r="E46" s="20" t="s">
        <v>127</v>
      </c>
    </row>
    <row r="47" spans="1:5" ht="24" customHeight="1" x14ac:dyDescent="0.35">
      <c r="A47" s="17">
        <v>3</v>
      </c>
      <c r="B47" s="21" t="s">
        <v>128</v>
      </c>
      <c r="C47" s="39"/>
      <c r="D47" s="40"/>
      <c r="E47" s="20" t="s">
        <v>129</v>
      </c>
    </row>
  </sheetData>
  <mergeCells count="42">
    <mergeCell ref="C38:D38"/>
    <mergeCell ref="C19:D19"/>
    <mergeCell ref="C13:D13"/>
    <mergeCell ref="C18:D18"/>
    <mergeCell ref="A44:E44"/>
    <mergeCell ref="C47:D47"/>
    <mergeCell ref="A16:E16"/>
    <mergeCell ref="C25:D25"/>
    <mergeCell ref="C41:D41"/>
    <mergeCell ref="A37:E37"/>
    <mergeCell ref="C22:D22"/>
    <mergeCell ref="C40:D40"/>
    <mergeCell ref="C31:D31"/>
    <mergeCell ref="C46:D46"/>
    <mergeCell ref="C21:D21"/>
    <mergeCell ref="C27:D27"/>
    <mergeCell ref="C17:D17"/>
    <mergeCell ref="C23:D23"/>
    <mergeCell ref="C39:D39"/>
    <mergeCell ref="A29:E29"/>
    <mergeCell ref="C32:D32"/>
    <mergeCell ref="C42:D42"/>
    <mergeCell ref="C14:D14"/>
    <mergeCell ref="A1:E1"/>
    <mergeCell ref="C45:D45"/>
    <mergeCell ref="C26:D26"/>
    <mergeCell ref="C35:D35"/>
    <mergeCell ref="C20:D20"/>
    <mergeCell ref="C10:D10"/>
    <mergeCell ref="C9:D9"/>
    <mergeCell ref="A3:B3"/>
    <mergeCell ref="C12:D12"/>
    <mergeCell ref="A2:E2"/>
    <mergeCell ref="C11:D11"/>
    <mergeCell ref="A5:E5"/>
    <mergeCell ref="C8:D8"/>
    <mergeCell ref="C7:D7"/>
    <mergeCell ref="C34:D34"/>
    <mergeCell ref="C6:D6"/>
    <mergeCell ref="C24:D24"/>
    <mergeCell ref="C30:D30"/>
    <mergeCell ref="C33:D33"/>
  </mergeCells>
  <dataValidations count="5">
    <dataValidation type="list" errorStyle="warning" allowBlank="1" showErrorMessage="1" errorTitle="Not in the list" error="Pick from the list, or press Yes to keep your own answer." sqref="C8" xr:uid="{00000000-0002-0000-0100-000000000000}">
      <formula1>"CBSE,ICSE,State Board,IB,Cambridge,Other"</formula1>
    </dataValidation>
    <dataValidation type="list" errorStyle="warning" allowBlank="1" showErrorMessage="1" errorTitle="Not in the list" error="Pick from the list, or press Yes to keep your own answer." sqref="C11" xr:uid="{00000000-0002-0000-0100-000001000000}">
      <formula1>"Day school,Residential,Day + Residential"</formula1>
    </dataValidation>
    <dataValidation type="list" errorStyle="warning" allowBlank="1" showErrorMessage="1" errorTitle="Not in the list" error="Pick from the list, or press Yes to keep your own answer." sqref="C12" xr:uid="{00000000-0002-0000-0100-000002000000}">
      <formula1>"Co-ed,Boys only,Girls only"</formula1>
    </dataValidation>
    <dataValidation type="list" errorStyle="warning" allowBlank="1" showErrorMessage="1" errorTitle="Not in the list" error="Pick from the list, or press Yes to keep your own answer." sqref="C33" xr:uid="{00000000-0002-0000-0100-000003000000}">
      <formula1>"Mon–Fri,Mon–Sat,Mon–Sat (2nd &amp; 4th Sat off),Other"</formula1>
    </dataValidation>
    <dataValidation type="list" errorStyle="warning" allowBlank="1" showErrorMessage="1" errorTitle="Not in the list" error="Pick from the list, or press Yes to keep your own answer." sqref="C45 C41:C42" xr:uid="{00000000-0002-0000-0100-000004000000}">
      <formula1>"Yes,No"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5A85"/>
    <pageSetUpPr fitToPage="1"/>
  </sheetPr>
  <dimension ref="A1:H21"/>
  <sheetViews>
    <sheetView showGridLines="0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5" customWidth="1"/>
    <col min="2" max="2" width="26" customWidth="1"/>
    <col min="3" max="3" width="46" customWidth="1"/>
    <col min="4" max="4" width="14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ht="34" customHeight="1" x14ac:dyDescent="0.35">
      <c r="A1" s="41" t="s">
        <v>130</v>
      </c>
      <c r="B1" s="42"/>
      <c r="C1" s="42"/>
      <c r="D1" s="42"/>
      <c r="E1" s="42"/>
      <c r="F1" s="42"/>
      <c r="G1" s="42"/>
      <c r="H1" s="42"/>
    </row>
    <row r="2" spans="1:8" ht="30" customHeight="1" x14ac:dyDescent="0.35">
      <c r="A2" s="46" t="s">
        <v>131</v>
      </c>
      <c r="B2" s="42"/>
      <c r="C2" s="42"/>
      <c r="D2" s="42"/>
      <c r="E2" s="42"/>
      <c r="F2" s="42"/>
      <c r="G2" s="42"/>
      <c r="H2" s="42"/>
    </row>
    <row r="3" spans="1:8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8" ht="22" customHeight="1" x14ac:dyDescent="0.35">
      <c r="A5" s="43" t="s">
        <v>132</v>
      </c>
      <c r="B5" s="44"/>
      <c r="C5" s="44"/>
      <c r="D5" s="44"/>
      <c r="E5" s="44"/>
      <c r="F5" s="44"/>
      <c r="G5" s="44"/>
      <c r="H5" s="44"/>
    </row>
    <row r="6" spans="1:8" ht="30" customHeight="1" x14ac:dyDescent="0.35">
      <c r="A6" s="38" t="s">
        <v>133</v>
      </c>
      <c r="B6" s="28"/>
      <c r="C6" s="28"/>
      <c r="D6" s="28"/>
      <c r="E6" s="28"/>
      <c r="F6" s="28"/>
      <c r="G6" s="28"/>
      <c r="H6" s="28"/>
    </row>
    <row r="7" spans="1:8" ht="30" customHeight="1" x14ac:dyDescent="0.35">
      <c r="A7" s="9" t="s">
        <v>19</v>
      </c>
      <c r="B7" s="9" t="s">
        <v>134</v>
      </c>
      <c r="C7" s="9" t="s">
        <v>135</v>
      </c>
      <c r="D7" s="9" t="s">
        <v>136</v>
      </c>
      <c r="E7" s="9" t="s">
        <v>137</v>
      </c>
      <c r="F7" s="9" t="s">
        <v>138</v>
      </c>
      <c r="G7" s="9" t="s">
        <v>139</v>
      </c>
      <c r="H7" s="9" t="s">
        <v>140</v>
      </c>
    </row>
    <row r="8" spans="1:8" ht="40" customHeight="1" x14ac:dyDescent="0.35">
      <c r="A8" s="10">
        <v>1</v>
      </c>
      <c r="B8" s="11" t="s">
        <v>39</v>
      </c>
      <c r="C8" s="22" t="s">
        <v>141</v>
      </c>
      <c r="D8" s="19"/>
      <c r="E8" s="19"/>
      <c r="F8" s="19"/>
      <c r="G8" s="19"/>
      <c r="H8" s="19"/>
    </row>
    <row r="9" spans="1:8" ht="40" customHeight="1" x14ac:dyDescent="0.35">
      <c r="A9" s="10">
        <v>2</v>
      </c>
      <c r="B9" s="11" t="s">
        <v>142</v>
      </c>
      <c r="C9" s="22" t="s">
        <v>143</v>
      </c>
      <c r="D9" s="19"/>
      <c r="E9" s="19"/>
      <c r="F9" s="19"/>
      <c r="G9" s="19"/>
      <c r="H9" s="19"/>
    </row>
    <row r="10" spans="1:8" ht="40" customHeight="1" x14ac:dyDescent="0.35">
      <c r="A10" s="10">
        <v>3</v>
      </c>
      <c r="B10" s="11" t="s">
        <v>144</v>
      </c>
      <c r="C10" s="22" t="s">
        <v>145</v>
      </c>
      <c r="D10" s="19"/>
      <c r="E10" s="19"/>
      <c r="F10" s="19"/>
      <c r="G10" s="19"/>
      <c r="H10" s="19"/>
    </row>
    <row r="11" spans="1:8" ht="40" customHeight="1" x14ac:dyDescent="0.35">
      <c r="A11" s="10">
        <v>4</v>
      </c>
      <c r="B11" s="11" t="s">
        <v>146</v>
      </c>
      <c r="C11" s="22" t="s">
        <v>147</v>
      </c>
      <c r="D11" s="19"/>
      <c r="E11" s="19"/>
      <c r="F11" s="19"/>
      <c r="G11" s="19"/>
      <c r="H11" s="19"/>
    </row>
    <row r="12" spans="1:8" ht="40" customHeight="1" x14ac:dyDescent="0.35">
      <c r="A12" s="10">
        <v>5</v>
      </c>
      <c r="B12" s="11" t="s">
        <v>148</v>
      </c>
      <c r="C12" s="22" t="s">
        <v>149</v>
      </c>
      <c r="D12" s="19"/>
      <c r="E12" s="19"/>
      <c r="F12" s="19"/>
      <c r="G12" s="19"/>
      <c r="H12" s="19"/>
    </row>
    <row r="13" spans="1:8" ht="40" customHeight="1" x14ac:dyDescent="0.35">
      <c r="A13" s="10">
        <v>6</v>
      </c>
      <c r="B13" s="11" t="s">
        <v>150</v>
      </c>
      <c r="C13" s="22" t="s">
        <v>151</v>
      </c>
      <c r="D13" s="19"/>
      <c r="E13" s="19"/>
      <c r="F13" s="19"/>
      <c r="G13" s="19"/>
      <c r="H13" s="19"/>
    </row>
    <row r="14" spans="1:8" ht="40" customHeight="1" x14ac:dyDescent="0.35">
      <c r="A14" s="10">
        <v>7</v>
      </c>
      <c r="B14" s="11" t="s">
        <v>152</v>
      </c>
      <c r="C14" s="22" t="s">
        <v>153</v>
      </c>
      <c r="D14" s="19"/>
      <c r="E14" s="19"/>
      <c r="F14" s="19"/>
      <c r="G14" s="19"/>
      <c r="H14" s="19"/>
    </row>
    <row r="15" spans="1:8" ht="40" customHeight="1" x14ac:dyDescent="0.35">
      <c r="A15" s="10">
        <v>8</v>
      </c>
      <c r="B15" s="11" t="s">
        <v>154</v>
      </c>
      <c r="C15" s="22" t="s">
        <v>155</v>
      </c>
      <c r="D15" s="19"/>
      <c r="E15" s="19"/>
      <c r="F15" s="19"/>
      <c r="G15" s="19"/>
      <c r="H15" s="19"/>
    </row>
    <row r="16" spans="1:8" ht="40" customHeight="1" x14ac:dyDescent="0.35">
      <c r="A16" s="10">
        <v>9</v>
      </c>
      <c r="B16" s="11" t="s">
        <v>156</v>
      </c>
      <c r="C16" s="22" t="s">
        <v>157</v>
      </c>
      <c r="D16" s="19"/>
      <c r="E16" s="19"/>
      <c r="F16" s="19"/>
      <c r="G16" s="19"/>
      <c r="H16" s="19"/>
    </row>
    <row r="17" spans="1:8" ht="40" customHeight="1" x14ac:dyDescent="0.35">
      <c r="A17" s="10">
        <v>10</v>
      </c>
      <c r="B17" s="11" t="s">
        <v>41</v>
      </c>
      <c r="C17" s="22" t="s">
        <v>158</v>
      </c>
      <c r="D17" s="19"/>
      <c r="E17" s="19"/>
      <c r="F17" s="19"/>
      <c r="G17" s="19"/>
      <c r="H17" s="19"/>
    </row>
    <row r="18" spans="1:8" ht="40" customHeight="1" x14ac:dyDescent="0.35">
      <c r="A18" s="10">
        <v>11</v>
      </c>
      <c r="B18" s="11" t="s">
        <v>159</v>
      </c>
      <c r="C18" s="22" t="s">
        <v>160</v>
      </c>
      <c r="D18" s="19"/>
      <c r="E18" s="19"/>
      <c r="F18" s="19"/>
      <c r="G18" s="19"/>
      <c r="H18" s="19"/>
    </row>
    <row r="19" spans="1:8" ht="40" customHeight="1" x14ac:dyDescent="0.35">
      <c r="A19" s="10">
        <v>12</v>
      </c>
      <c r="B19" s="11" t="s">
        <v>161</v>
      </c>
      <c r="C19" s="22" t="s">
        <v>162</v>
      </c>
      <c r="D19" s="19"/>
      <c r="E19" s="19"/>
      <c r="F19" s="19"/>
      <c r="G19" s="19"/>
      <c r="H19" s="19"/>
    </row>
    <row r="20" spans="1:8" ht="40" customHeight="1" x14ac:dyDescent="0.35">
      <c r="A20" s="10">
        <v>13</v>
      </c>
      <c r="B20" s="11" t="s">
        <v>49</v>
      </c>
      <c r="C20" s="22" t="s">
        <v>163</v>
      </c>
      <c r="D20" s="19"/>
      <c r="E20" s="19"/>
      <c r="F20" s="19"/>
      <c r="G20" s="19"/>
      <c r="H20" s="19"/>
    </row>
    <row r="21" spans="1:8" ht="40" customHeight="1" x14ac:dyDescent="0.35">
      <c r="A21" s="10">
        <v>14</v>
      </c>
      <c r="B21" s="11" t="s">
        <v>164</v>
      </c>
      <c r="C21" s="22" t="s">
        <v>165</v>
      </c>
      <c r="D21" s="19"/>
      <c r="E21" s="19"/>
      <c r="F21" s="19"/>
      <c r="G21" s="19"/>
      <c r="H21" s="19"/>
    </row>
  </sheetData>
  <mergeCells count="5">
    <mergeCell ref="A1:H1"/>
    <mergeCell ref="A2:H2"/>
    <mergeCell ref="A5:H5"/>
    <mergeCell ref="A3:B3"/>
    <mergeCell ref="A6:H6"/>
  </mergeCells>
  <dataValidations count="2">
    <dataValidation type="list" errorStyle="warning" allowBlank="1" showErrorMessage="1" errorTitle="Not in the list" error="Pick from the list, or press Yes to keep your own answer." sqref="D8:D21" xr:uid="{00000000-0002-0000-0200-000000000000}">
      <formula1>"Yes,No,Later"</formula1>
    </dataValidation>
    <dataValidation type="list" errorStyle="warning" allowBlank="1" showErrorMessage="1" errorTitle="Not in the list" error="Pick from the list, or press Yes to keep your own answer." sqref="E8:E21" xr:uid="{00000000-0002-0000-0200-000001000000}">
      <formula1>"High,Medium,Low"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5A85"/>
    <pageSetUpPr fitToPage="1"/>
  </sheetPr>
  <dimension ref="A1:G47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16" customWidth="1"/>
    <col min="2" max="2" width="12" customWidth="1"/>
    <col min="3" max="3" width="18" customWidth="1"/>
    <col min="4" max="4" width="26" customWidth="1"/>
    <col min="5" max="5" width="14" customWidth="1"/>
    <col min="6" max="6" width="16" customWidth="1"/>
    <col min="7" max="7" width="36" customWidth="1"/>
  </cols>
  <sheetData>
    <row r="1" spans="1:7" ht="34" customHeight="1" x14ac:dyDescent="0.35">
      <c r="A1" s="41" t="s">
        <v>166</v>
      </c>
      <c r="B1" s="42"/>
      <c r="C1" s="42"/>
      <c r="D1" s="42"/>
      <c r="E1" s="42"/>
      <c r="F1" s="42"/>
      <c r="G1" s="42"/>
    </row>
    <row r="2" spans="1:7" ht="30" customHeight="1" x14ac:dyDescent="0.35">
      <c r="A2" s="46" t="s">
        <v>167</v>
      </c>
      <c r="B2" s="42"/>
      <c r="C2" s="42"/>
      <c r="D2" s="42"/>
      <c r="E2" s="42"/>
      <c r="F2" s="42"/>
      <c r="G2" s="42"/>
    </row>
    <row r="3" spans="1:7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7" ht="22" customHeight="1" x14ac:dyDescent="0.35">
      <c r="A5" s="43" t="s">
        <v>168</v>
      </c>
      <c r="B5" s="44"/>
      <c r="C5" s="44"/>
      <c r="D5" s="44"/>
      <c r="E5" s="44"/>
      <c r="F5" s="44"/>
      <c r="G5" s="44"/>
    </row>
    <row r="6" spans="1:7" ht="30" customHeight="1" x14ac:dyDescent="0.35">
      <c r="A6" s="9" t="s">
        <v>169</v>
      </c>
      <c r="B6" s="9" t="s">
        <v>170</v>
      </c>
      <c r="C6" s="9" t="s">
        <v>171</v>
      </c>
      <c r="D6" s="9" t="s">
        <v>172</v>
      </c>
      <c r="E6" s="9" t="s">
        <v>173</v>
      </c>
      <c r="F6" s="9" t="s">
        <v>174</v>
      </c>
      <c r="G6" s="9" t="s">
        <v>175</v>
      </c>
    </row>
    <row r="7" spans="1:7" ht="22" customHeight="1" x14ac:dyDescent="0.35">
      <c r="A7" s="23" t="s">
        <v>176</v>
      </c>
      <c r="B7" s="23" t="s">
        <v>177</v>
      </c>
      <c r="C7" s="23" t="s">
        <v>178</v>
      </c>
      <c r="D7" s="23" t="s">
        <v>179</v>
      </c>
      <c r="E7" s="23" t="s">
        <v>180</v>
      </c>
      <c r="F7" s="23">
        <v>40</v>
      </c>
      <c r="G7" s="23" t="s">
        <v>181</v>
      </c>
    </row>
    <row r="8" spans="1:7" ht="21" customHeight="1" x14ac:dyDescent="0.35">
      <c r="A8" s="19"/>
      <c r="B8" s="19"/>
      <c r="C8" s="19"/>
      <c r="D8" s="19"/>
      <c r="E8" s="19"/>
      <c r="F8" s="19"/>
      <c r="G8" s="19"/>
    </row>
    <row r="9" spans="1:7" ht="21" customHeight="1" x14ac:dyDescent="0.35">
      <c r="A9" s="19"/>
      <c r="B9" s="19"/>
      <c r="C9" s="19"/>
      <c r="D9" s="19"/>
      <c r="E9" s="19"/>
      <c r="F9" s="19"/>
      <c r="G9" s="19"/>
    </row>
    <row r="10" spans="1:7" ht="21" customHeight="1" x14ac:dyDescent="0.35">
      <c r="A10" s="19"/>
      <c r="B10" s="19"/>
      <c r="C10" s="19"/>
      <c r="D10" s="19"/>
      <c r="E10" s="19"/>
      <c r="F10" s="19"/>
      <c r="G10" s="19"/>
    </row>
    <row r="11" spans="1:7" ht="21" customHeight="1" x14ac:dyDescent="0.35">
      <c r="A11" s="19"/>
      <c r="B11" s="19"/>
      <c r="C11" s="19"/>
      <c r="D11" s="19"/>
      <c r="E11" s="19"/>
      <c r="F11" s="19"/>
      <c r="G11" s="19"/>
    </row>
    <row r="12" spans="1:7" ht="21" customHeight="1" x14ac:dyDescent="0.35">
      <c r="A12" s="19"/>
      <c r="B12" s="19"/>
      <c r="C12" s="19"/>
      <c r="D12" s="19"/>
      <c r="E12" s="19"/>
      <c r="F12" s="19"/>
      <c r="G12" s="19"/>
    </row>
    <row r="13" spans="1:7" ht="21" customHeight="1" x14ac:dyDescent="0.35">
      <c r="A13" s="19"/>
      <c r="B13" s="19"/>
      <c r="C13" s="19"/>
      <c r="D13" s="19"/>
      <c r="E13" s="19"/>
      <c r="F13" s="19"/>
      <c r="G13" s="19"/>
    </row>
    <row r="14" spans="1:7" ht="21" customHeight="1" x14ac:dyDescent="0.35">
      <c r="A14" s="19"/>
      <c r="B14" s="19"/>
      <c r="C14" s="19"/>
      <c r="D14" s="19"/>
      <c r="E14" s="19"/>
      <c r="F14" s="19"/>
      <c r="G14" s="19"/>
    </row>
    <row r="15" spans="1:7" ht="21" customHeight="1" x14ac:dyDescent="0.35">
      <c r="A15" s="19"/>
      <c r="B15" s="19"/>
      <c r="C15" s="19"/>
      <c r="D15" s="19"/>
      <c r="E15" s="19"/>
      <c r="F15" s="19"/>
      <c r="G15" s="19"/>
    </row>
    <row r="16" spans="1:7" ht="21" customHeight="1" x14ac:dyDescent="0.35">
      <c r="A16" s="19"/>
      <c r="B16" s="19"/>
      <c r="C16" s="19"/>
      <c r="D16" s="19"/>
      <c r="E16" s="19"/>
      <c r="F16" s="19"/>
      <c r="G16" s="19"/>
    </row>
    <row r="17" spans="1:7" ht="21" customHeight="1" x14ac:dyDescent="0.35">
      <c r="A17" s="19"/>
      <c r="B17" s="19"/>
      <c r="C17" s="19"/>
      <c r="D17" s="19"/>
      <c r="E17" s="19"/>
      <c r="F17" s="19"/>
      <c r="G17" s="19"/>
    </row>
    <row r="18" spans="1:7" ht="21" customHeight="1" x14ac:dyDescent="0.35">
      <c r="A18" s="19"/>
      <c r="B18" s="19"/>
      <c r="C18" s="19"/>
      <c r="D18" s="19"/>
      <c r="E18" s="19"/>
      <c r="F18" s="19"/>
      <c r="G18" s="19"/>
    </row>
    <row r="19" spans="1:7" ht="21" customHeight="1" x14ac:dyDescent="0.35">
      <c r="A19" s="19"/>
      <c r="B19" s="19"/>
      <c r="C19" s="19"/>
      <c r="D19" s="19"/>
      <c r="E19" s="19"/>
      <c r="F19" s="19"/>
      <c r="G19" s="19"/>
    </row>
    <row r="20" spans="1:7" ht="21" customHeight="1" x14ac:dyDescent="0.35">
      <c r="A20" s="19"/>
      <c r="B20" s="19"/>
      <c r="C20" s="19"/>
      <c r="D20" s="19"/>
      <c r="E20" s="19"/>
      <c r="F20" s="19"/>
      <c r="G20" s="19"/>
    </row>
    <row r="21" spans="1:7" ht="21" customHeight="1" x14ac:dyDescent="0.35">
      <c r="A21" s="19"/>
      <c r="B21" s="19"/>
      <c r="C21" s="19"/>
      <c r="D21" s="19"/>
      <c r="E21" s="19"/>
      <c r="F21" s="19"/>
      <c r="G21" s="19"/>
    </row>
    <row r="22" spans="1:7" ht="21" customHeight="1" x14ac:dyDescent="0.35">
      <c r="A22" s="19"/>
      <c r="B22" s="19"/>
      <c r="C22" s="19"/>
      <c r="D22" s="19"/>
      <c r="E22" s="19"/>
      <c r="F22" s="19"/>
      <c r="G22" s="19"/>
    </row>
    <row r="23" spans="1:7" ht="21" customHeight="1" x14ac:dyDescent="0.35">
      <c r="A23" s="19"/>
      <c r="B23" s="19"/>
      <c r="C23" s="19"/>
      <c r="D23" s="19"/>
      <c r="E23" s="19"/>
      <c r="F23" s="19"/>
      <c r="G23" s="19"/>
    </row>
    <row r="24" spans="1:7" ht="21" customHeight="1" x14ac:dyDescent="0.35">
      <c r="A24" s="19"/>
      <c r="B24" s="19"/>
      <c r="C24" s="19"/>
      <c r="D24" s="19"/>
      <c r="E24" s="19"/>
      <c r="F24" s="19"/>
      <c r="G24" s="19"/>
    </row>
    <row r="25" spans="1:7" ht="21" customHeight="1" x14ac:dyDescent="0.35">
      <c r="A25" s="19"/>
      <c r="B25" s="19"/>
      <c r="C25" s="19"/>
      <c r="D25" s="19"/>
      <c r="E25" s="19"/>
      <c r="F25" s="19"/>
      <c r="G25" s="19"/>
    </row>
    <row r="26" spans="1:7" ht="21" customHeight="1" x14ac:dyDescent="0.35">
      <c r="A26" s="19"/>
      <c r="B26" s="19"/>
      <c r="C26" s="19"/>
      <c r="D26" s="19"/>
      <c r="E26" s="19"/>
      <c r="F26" s="19"/>
      <c r="G26" s="19"/>
    </row>
    <row r="27" spans="1:7" ht="21" customHeight="1" x14ac:dyDescent="0.35">
      <c r="A27" s="19"/>
      <c r="B27" s="19"/>
      <c r="C27" s="19"/>
      <c r="D27" s="19"/>
      <c r="E27" s="19"/>
      <c r="F27" s="19"/>
      <c r="G27" s="19"/>
    </row>
    <row r="28" spans="1:7" ht="21" customHeight="1" x14ac:dyDescent="0.35">
      <c r="A28" s="19"/>
      <c r="B28" s="19"/>
      <c r="C28" s="19"/>
      <c r="D28" s="19"/>
      <c r="E28" s="19"/>
      <c r="F28" s="19"/>
      <c r="G28" s="19"/>
    </row>
    <row r="29" spans="1:7" ht="21" customHeight="1" x14ac:dyDescent="0.35">
      <c r="A29" s="19"/>
      <c r="B29" s="19"/>
      <c r="C29" s="19"/>
      <c r="D29" s="19"/>
      <c r="E29" s="19"/>
      <c r="F29" s="19"/>
      <c r="G29" s="19"/>
    </row>
    <row r="30" spans="1:7" ht="21" customHeight="1" x14ac:dyDescent="0.35">
      <c r="A30" s="19"/>
      <c r="B30" s="19"/>
      <c r="C30" s="19"/>
      <c r="D30" s="19"/>
      <c r="E30" s="19"/>
      <c r="F30" s="19"/>
      <c r="G30" s="19"/>
    </row>
    <row r="31" spans="1:7" ht="21" customHeight="1" x14ac:dyDescent="0.35">
      <c r="A31" s="19"/>
      <c r="B31" s="19"/>
      <c r="C31" s="19"/>
      <c r="D31" s="19"/>
      <c r="E31" s="19"/>
      <c r="F31" s="19"/>
      <c r="G31" s="19"/>
    </row>
    <row r="32" spans="1:7" ht="21" customHeight="1" x14ac:dyDescent="0.35">
      <c r="A32" s="19"/>
      <c r="B32" s="19"/>
      <c r="C32" s="19"/>
      <c r="D32" s="19"/>
      <c r="E32" s="19"/>
      <c r="F32" s="19"/>
      <c r="G32" s="19"/>
    </row>
    <row r="33" spans="1:7" ht="21" customHeight="1" x14ac:dyDescent="0.35">
      <c r="A33" s="19"/>
      <c r="B33" s="19"/>
      <c r="C33" s="19"/>
      <c r="D33" s="19"/>
      <c r="E33" s="19"/>
      <c r="F33" s="19"/>
      <c r="G33" s="19"/>
    </row>
    <row r="34" spans="1:7" ht="21" customHeight="1" x14ac:dyDescent="0.35">
      <c r="A34" s="19"/>
      <c r="B34" s="19"/>
      <c r="C34" s="19"/>
      <c r="D34" s="19"/>
      <c r="E34" s="19"/>
      <c r="F34" s="19"/>
      <c r="G34" s="19"/>
    </row>
    <row r="35" spans="1:7" ht="21" customHeight="1" x14ac:dyDescent="0.35">
      <c r="A35" s="19"/>
      <c r="B35" s="19"/>
      <c r="C35" s="19"/>
      <c r="D35" s="19"/>
      <c r="E35" s="19"/>
      <c r="F35" s="19"/>
      <c r="G35" s="19"/>
    </row>
    <row r="36" spans="1:7" ht="21" customHeight="1" x14ac:dyDescent="0.35">
      <c r="A36" s="19"/>
      <c r="B36" s="19"/>
      <c r="C36" s="19"/>
      <c r="D36" s="19"/>
      <c r="E36" s="19"/>
      <c r="F36" s="19"/>
      <c r="G36" s="19"/>
    </row>
    <row r="37" spans="1:7" ht="21" customHeight="1" x14ac:dyDescent="0.35">
      <c r="A37" s="19"/>
      <c r="B37" s="19"/>
      <c r="C37" s="19"/>
      <c r="D37" s="19"/>
      <c r="E37" s="19"/>
      <c r="F37" s="19"/>
      <c r="G37" s="19"/>
    </row>
    <row r="38" spans="1:7" ht="21" customHeight="1" x14ac:dyDescent="0.35">
      <c r="A38" s="19"/>
      <c r="B38" s="19"/>
      <c r="C38" s="19"/>
      <c r="D38" s="19"/>
      <c r="E38" s="19"/>
      <c r="F38" s="19"/>
      <c r="G38" s="19"/>
    </row>
    <row r="39" spans="1:7" ht="21" customHeight="1" x14ac:dyDescent="0.35">
      <c r="A39" s="19"/>
      <c r="B39" s="19"/>
      <c r="C39" s="19"/>
      <c r="D39" s="19"/>
      <c r="E39" s="19"/>
      <c r="F39" s="19"/>
      <c r="G39" s="19"/>
    </row>
    <row r="40" spans="1:7" ht="21" customHeight="1" x14ac:dyDescent="0.35">
      <c r="A40" s="19"/>
      <c r="B40" s="19"/>
      <c r="C40" s="19"/>
      <c r="D40" s="19"/>
      <c r="E40" s="19"/>
      <c r="F40" s="19"/>
      <c r="G40" s="19"/>
    </row>
    <row r="41" spans="1:7" ht="21" customHeight="1" x14ac:dyDescent="0.35">
      <c r="A41" s="19"/>
      <c r="B41" s="19"/>
      <c r="C41" s="19"/>
      <c r="D41" s="19"/>
      <c r="E41" s="19"/>
      <c r="F41" s="19"/>
      <c r="G41" s="19"/>
    </row>
    <row r="42" spans="1:7" ht="21" customHeight="1" x14ac:dyDescent="0.35">
      <c r="A42" s="19"/>
      <c r="B42" s="19"/>
      <c r="C42" s="19"/>
      <c r="D42" s="19"/>
      <c r="E42" s="19"/>
      <c r="F42" s="19"/>
      <c r="G42" s="19"/>
    </row>
    <row r="43" spans="1:7" ht="21" customHeight="1" x14ac:dyDescent="0.35">
      <c r="A43" s="19"/>
      <c r="B43" s="19"/>
      <c r="C43" s="19"/>
      <c r="D43" s="19"/>
      <c r="E43" s="19"/>
      <c r="F43" s="19"/>
      <c r="G43" s="19"/>
    </row>
    <row r="44" spans="1:7" ht="21" customHeight="1" x14ac:dyDescent="0.35">
      <c r="A44" s="19"/>
      <c r="B44" s="19"/>
      <c r="C44" s="19"/>
      <c r="D44" s="19"/>
      <c r="E44" s="19"/>
      <c r="F44" s="19"/>
      <c r="G44" s="19"/>
    </row>
    <row r="45" spans="1:7" ht="21" customHeight="1" x14ac:dyDescent="0.35">
      <c r="A45" s="19"/>
      <c r="B45" s="19"/>
      <c r="C45" s="19"/>
      <c r="D45" s="19"/>
      <c r="E45" s="19"/>
      <c r="F45" s="19"/>
      <c r="G45" s="19"/>
    </row>
    <row r="46" spans="1:7" ht="21" customHeight="1" x14ac:dyDescent="0.35">
      <c r="A46" s="19"/>
      <c r="B46" s="19"/>
      <c r="C46" s="19"/>
      <c r="D46" s="19"/>
      <c r="E46" s="19"/>
      <c r="F46" s="19"/>
      <c r="G46" s="19"/>
    </row>
    <row r="47" spans="1:7" ht="21" customHeight="1" x14ac:dyDescent="0.35">
      <c r="A47" s="19"/>
      <c r="B47" s="19"/>
      <c r="C47" s="19"/>
      <c r="D47" s="19"/>
      <c r="E47" s="19"/>
      <c r="F47" s="19"/>
      <c r="G47" s="19"/>
    </row>
  </sheetData>
  <mergeCells count="4">
    <mergeCell ref="A3:B3"/>
    <mergeCell ref="A2:G2"/>
    <mergeCell ref="A1:G1"/>
    <mergeCell ref="A5:G5"/>
  </mergeCells>
  <dataValidations count="1">
    <dataValidation type="list" errorStyle="warning" allowBlank="1" showErrorMessage="1" errorTitle="Not in the list" error="Pick from the list, or press Yes to keep your own answer." sqref="C8:C47" xr:uid="{00000000-0002-0000-0300-000000000000}">
      <formula1>"None,Science,Commerce,Humanities"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15A85"/>
    <pageSetUpPr fitToPage="1"/>
  </sheetPr>
  <dimension ref="A1:G42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26" customWidth="1"/>
    <col min="2" max="2" width="12" customWidth="1"/>
    <col min="3" max="3" width="18" customWidth="1"/>
    <col min="4" max="4" width="20" customWidth="1"/>
    <col min="5" max="5" width="14" customWidth="1"/>
    <col min="6" max="6" width="12" customWidth="1"/>
    <col min="7" max="7" width="34" customWidth="1"/>
  </cols>
  <sheetData>
    <row r="1" spans="1:7" ht="34" customHeight="1" x14ac:dyDescent="0.35">
      <c r="A1" s="41" t="s">
        <v>182</v>
      </c>
      <c r="B1" s="42"/>
      <c r="C1" s="42"/>
      <c r="D1" s="42"/>
      <c r="E1" s="42"/>
      <c r="F1" s="42"/>
      <c r="G1" s="42"/>
    </row>
    <row r="2" spans="1:7" ht="30" customHeight="1" x14ac:dyDescent="0.35">
      <c r="A2" s="46" t="s">
        <v>183</v>
      </c>
      <c r="B2" s="42"/>
      <c r="C2" s="42"/>
      <c r="D2" s="42"/>
      <c r="E2" s="42"/>
      <c r="F2" s="42"/>
      <c r="G2" s="42"/>
    </row>
    <row r="3" spans="1:7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7" ht="22" customHeight="1" x14ac:dyDescent="0.35">
      <c r="A5" s="43" t="s">
        <v>184</v>
      </c>
      <c r="B5" s="44"/>
      <c r="C5" s="44"/>
      <c r="D5" s="44"/>
      <c r="E5" s="44"/>
      <c r="F5" s="44"/>
      <c r="G5" s="44"/>
    </row>
    <row r="6" spans="1:7" ht="30" customHeight="1" x14ac:dyDescent="0.35">
      <c r="A6" s="9" t="s">
        <v>185</v>
      </c>
      <c r="B6" s="9" t="s">
        <v>186</v>
      </c>
      <c r="C6" s="9" t="s">
        <v>187</v>
      </c>
      <c r="D6" s="9" t="s">
        <v>188</v>
      </c>
      <c r="E6" s="9" t="s">
        <v>189</v>
      </c>
      <c r="F6" s="9" t="s">
        <v>190</v>
      </c>
      <c r="G6" s="9" t="s">
        <v>175</v>
      </c>
    </row>
    <row r="7" spans="1:7" ht="22" customHeight="1" x14ac:dyDescent="0.35">
      <c r="A7" s="23" t="s">
        <v>191</v>
      </c>
      <c r="B7" s="23" t="s">
        <v>192</v>
      </c>
      <c r="C7" s="23" t="s">
        <v>193</v>
      </c>
      <c r="D7" s="23" t="s">
        <v>194</v>
      </c>
      <c r="E7" s="23">
        <v>6</v>
      </c>
      <c r="F7" s="23">
        <v>100</v>
      </c>
      <c r="G7" s="23" t="s">
        <v>195</v>
      </c>
    </row>
    <row r="8" spans="1:7" ht="21" customHeight="1" x14ac:dyDescent="0.35">
      <c r="A8" s="19"/>
      <c r="B8" s="19"/>
      <c r="C8" s="19"/>
      <c r="D8" s="19"/>
      <c r="E8" s="19"/>
      <c r="F8" s="19"/>
      <c r="G8" s="19"/>
    </row>
    <row r="9" spans="1:7" ht="21" customHeight="1" x14ac:dyDescent="0.35">
      <c r="A9" s="19"/>
      <c r="B9" s="19"/>
      <c r="C9" s="19"/>
      <c r="D9" s="19"/>
      <c r="E9" s="19"/>
      <c r="F9" s="19"/>
      <c r="G9" s="19"/>
    </row>
    <row r="10" spans="1:7" ht="21" customHeight="1" x14ac:dyDescent="0.35">
      <c r="A10" s="19"/>
      <c r="B10" s="19"/>
      <c r="C10" s="19"/>
      <c r="D10" s="19"/>
      <c r="E10" s="19"/>
      <c r="F10" s="19"/>
      <c r="G10" s="19"/>
    </row>
    <row r="11" spans="1:7" ht="21" customHeight="1" x14ac:dyDescent="0.35">
      <c r="A11" s="19"/>
      <c r="B11" s="19"/>
      <c r="C11" s="19"/>
      <c r="D11" s="19"/>
      <c r="E11" s="19"/>
      <c r="F11" s="19"/>
      <c r="G11" s="19"/>
    </row>
    <row r="12" spans="1:7" ht="21" customHeight="1" x14ac:dyDescent="0.35">
      <c r="A12" s="19"/>
      <c r="B12" s="19"/>
      <c r="C12" s="19"/>
      <c r="D12" s="19"/>
      <c r="E12" s="19"/>
      <c r="F12" s="19"/>
      <c r="G12" s="19"/>
    </row>
    <row r="13" spans="1:7" ht="21" customHeight="1" x14ac:dyDescent="0.35">
      <c r="A13" s="19"/>
      <c r="B13" s="19"/>
      <c r="C13" s="19"/>
      <c r="D13" s="19"/>
      <c r="E13" s="19"/>
      <c r="F13" s="19"/>
      <c r="G13" s="19"/>
    </row>
    <row r="14" spans="1:7" ht="21" customHeight="1" x14ac:dyDescent="0.35">
      <c r="A14" s="19"/>
      <c r="B14" s="19"/>
      <c r="C14" s="19"/>
      <c r="D14" s="19"/>
      <c r="E14" s="19"/>
      <c r="F14" s="19"/>
      <c r="G14" s="19"/>
    </row>
    <row r="15" spans="1:7" ht="21" customHeight="1" x14ac:dyDescent="0.35">
      <c r="A15" s="19"/>
      <c r="B15" s="19"/>
      <c r="C15" s="19"/>
      <c r="D15" s="19"/>
      <c r="E15" s="19"/>
      <c r="F15" s="19"/>
      <c r="G15" s="19"/>
    </row>
    <row r="16" spans="1:7" ht="21" customHeight="1" x14ac:dyDescent="0.35">
      <c r="A16" s="19"/>
      <c r="B16" s="19"/>
      <c r="C16" s="19"/>
      <c r="D16" s="19"/>
      <c r="E16" s="19"/>
      <c r="F16" s="19"/>
      <c r="G16" s="19"/>
    </row>
    <row r="17" spans="1:7" ht="21" customHeight="1" x14ac:dyDescent="0.35">
      <c r="A17" s="19"/>
      <c r="B17" s="19"/>
      <c r="C17" s="19"/>
      <c r="D17" s="19"/>
      <c r="E17" s="19"/>
      <c r="F17" s="19"/>
      <c r="G17" s="19"/>
    </row>
    <row r="18" spans="1:7" ht="21" customHeight="1" x14ac:dyDescent="0.35">
      <c r="A18" s="19"/>
      <c r="B18" s="19"/>
      <c r="C18" s="19"/>
      <c r="D18" s="19"/>
      <c r="E18" s="19"/>
      <c r="F18" s="19"/>
      <c r="G18" s="19"/>
    </row>
    <row r="19" spans="1:7" ht="21" customHeight="1" x14ac:dyDescent="0.35">
      <c r="A19" s="19"/>
      <c r="B19" s="19"/>
      <c r="C19" s="19"/>
      <c r="D19" s="19"/>
      <c r="E19" s="19"/>
      <c r="F19" s="19"/>
      <c r="G19" s="19"/>
    </row>
    <row r="20" spans="1:7" ht="21" customHeight="1" x14ac:dyDescent="0.35">
      <c r="A20" s="19"/>
      <c r="B20" s="19"/>
      <c r="C20" s="19"/>
      <c r="D20" s="19"/>
      <c r="E20" s="19"/>
      <c r="F20" s="19"/>
      <c r="G20" s="19"/>
    </row>
    <row r="21" spans="1:7" ht="21" customHeight="1" x14ac:dyDescent="0.35">
      <c r="A21" s="19"/>
      <c r="B21" s="19"/>
      <c r="C21" s="19"/>
      <c r="D21" s="19"/>
      <c r="E21" s="19"/>
      <c r="F21" s="19"/>
      <c r="G21" s="19"/>
    </row>
    <row r="22" spans="1:7" ht="21" customHeight="1" x14ac:dyDescent="0.35">
      <c r="A22" s="19"/>
      <c r="B22" s="19"/>
      <c r="C22" s="19"/>
      <c r="D22" s="19"/>
      <c r="E22" s="19"/>
      <c r="F22" s="19"/>
      <c r="G22" s="19"/>
    </row>
    <row r="23" spans="1:7" ht="21" customHeight="1" x14ac:dyDescent="0.35">
      <c r="A23" s="19"/>
      <c r="B23" s="19"/>
      <c r="C23" s="19"/>
      <c r="D23" s="19"/>
      <c r="E23" s="19"/>
      <c r="F23" s="19"/>
      <c r="G23" s="19"/>
    </row>
    <row r="24" spans="1:7" ht="21" customHeight="1" x14ac:dyDescent="0.35">
      <c r="A24" s="19"/>
      <c r="B24" s="19"/>
      <c r="C24" s="19"/>
      <c r="D24" s="19"/>
      <c r="E24" s="19"/>
      <c r="F24" s="19"/>
      <c r="G24" s="19"/>
    </row>
    <row r="25" spans="1:7" ht="21" customHeight="1" x14ac:dyDescent="0.35">
      <c r="A25" s="19"/>
      <c r="B25" s="19"/>
      <c r="C25" s="19"/>
      <c r="D25" s="19"/>
      <c r="E25" s="19"/>
      <c r="F25" s="19"/>
      <c r="G25" s="19"/>
    </row>
    <row r="26" spans="1:7" ht="21" customHeight="1" x14ac:dyDescent="0.35">
      <c r="A26" s="19"/>
      <c r="B26" s="19"/>
      <c r="C26" s="19"/>
      <c r="D26" s="19"/>
      <c r="E26" s="19"/>
      <c r="F26" s="19"/>
      <c r="G26" s="19"/>
    </row>
    <row r="27" spans="1:7" ht="21" customHeight="1" x14ac:dyDescent="0.35">
      <c r="A27" s="19"/>
      <c r="B27" s="19"/>
      <c r="C27" s="19"/>
      <c r="D27" s="19"/>
      <c r="E27" s="19"/>
      <c r="F27" s="19"/>
      <c r="G27" s="19"/>
    </row>
    <row r="28" spans="1:7" ht="21" customHeight="1" x14ac:dyDescent="0.35">
      <c r="A28" s="19"/>
      <c r="B28" s="19"/>
      <c r="C28" s="19"/>
      <c r="D28" s="19"/>
      <c r="E28" s="19"/>
      <c r="F28" s="19"/>
      <c r="G28" s="19"/>
    </row>
    <row r="29" spans="1:7" ht="21" customHeight="1" x14ac:dyDescent="0.35">
      <c r="A29" s="19"/>
      <c r="B29" s="19"/>
      <c r="C29" s="19"/>
      <c r="D29" s="19"/>
      <c r="E29" s="19"/>
      <c r="F29" s="19"/>
      <c r="G29" s="19"/>
    </row>
    <row r="30" spans="1:7" ht="21" customHeight="1" x14ac:dyDescent="0.35">
      <c r="A30" s="19"/>
      <c r="B30" s="19"/>
      <c r="C30" s="19"/>
      <c r="D30" s="19"/>
      <c r="E30" s="19"/>
      <c r="F30" s="19"/>
      <c r="G30" s="19"/>
    </row>
    <row r="31" spans="1:7" ht="21" customHeight="1" x14ac:dyDescent="0.35">
      <c r="A31" s="19"/>
      <c r="B31" s="19"/>
      <c r="C31" s="19"/>
      <c r="D31" s="19"/>
      <c r="E31" s="19"/>
      <c r="F31" s="19"/>
      <c r="G31" s="19"/>
    </row>
    <row r="32" spans="1:7" ht="21" customHeight="1" x14ac:dyDescent="0.35">
      <c r="A32" s="19"/>
      <c r="B32" s="19"/>
      <c r="C32" s="19"/>
      <c r="D32" s="19"/>
      <c r="E32" s="19"/>
      <c r="F32" s="19"/>
      <c r="G32" s="19"/>
    </row>
    <row r="33" spans="1:7" ht="21" customHeight="1" x14ac:dyDescent="0.35">
      <c r="A33" s="19"/>
      <c r="B33" s="19"/>
      <c r="C33" s="19"/>
      <c r="D33" s="19"/>
      <c r="E33" s="19"/>
      <c r="F33" s="19"/>
      <c r="G33" s="19"/>
    </row>
    <row r="34" spans="1:7" ht="21" customHeight="1" x14ac:dyDescent="0.35">
      <c r="A34" s="19"/>
      <c r="B34" s="19"/>
      <c r="C34" s="19"/>
      <c r="D34" s="19"/>
      <c r="E34" s="19"/>
      <c r="F34" s="19"/>
      <c r="G34" s="19"/>
    </row>
    <row r="35" spans="1:7" ht="21" customHeight="1" x14ac:dyDescent="0.35">
      <c r="A35" s="19"/>
      <c r="B35" s="19"/>
      <c r="C35" s="19"/>
      <c r="D35" s="19"/>
      <c r="E35" s="19"/>
      <c r="F35" s="19"/>
      <c r="G35" s="19"/>
    </row>
    <row r="36" spans="1:7" ht="21" customHeight="1" x14ac:dyDescent="0.35">
      <c r="A36" s="19"/>
      <c r="B36" s="19"/>
      <c r="C36" s="19"/>
      <c r="D36" s="19"/>
      <c r="E36" s="19"/>
      <c r="F36" s="19"/>
      <c r="G36" s="19"/>
    </row>
    <row r="37" spans="1:7" ht="21" customHeight="1" x14ac:dyDescent="0.35">
      <c r="A37" s="19"/>
      <c r="B37" s="19"/>
      <c r="C37" s="19"/>
      <c r="D37" s="19"/>
      <c r="E37" s="19"/>
      <c r="F37" s="19"/>
      <c r="G37" s="19"/>
    </row>
    <row r="38" spans="1:7" ht="21" customHeight="1" x14ac:dyDescent="0.35">
      <c r="A38" s="19"/>
      <c r="B38" s="19"/>
      <c r="C38" s="19"/>
      <c r="D38" s="19"/>
      <c r="E38" s="19"/>
      <c r="F38" s="19"/>
      <c r="G38" s="19"/>
    </row>
    <row r="39" spans="1:7" ht="21" customHeight="1" x14ac:dyDescent="0.35">
      <c r="A39" s="19"/>
      <c r="B39" s="19"/>
      <c r="C39" s="19"/>
      <c r="D39" s="19"/>
      <c r="E39" s="19"/>
      <c r="F39" s="19"/>
      <c r="G39" s="19"/>
    </row>
    <row r="40" spans="1:7" ht="21" customHeight="1" x14ac:dyDescent="0.35">
      <c r="A40" s="19"/>
      <c r="B40" s="19"/>
      <c r="C40" s="19"/>
      <c r="D40" s="19"/>
      <c r="E40" s="19"/>
      <c r="F40" s="19"/>
      <c r="G40" s="19"/>
    </row>
    <row r="41" spans="1:7" ht="21" customHeight="1" x14ac:dyDescent="0.35">
      <c r="A41" s="19"/>
      <c r="B41" s="19"/>
      <c r="C41" s="19"/>
      <c r="D41" s="19"/>
      <c r="E41" s="19"/>
      <c r="F41" s="19"/>
      <c r="G41" s="19"/>
    </row>
    <row r="42" spans="1:7" ht="21" customHeight="1" x14ac:dyDescent="0.35">
      <c r="A42" s="19"/>
      <c r="B42" s="19"/>
      <c r="C42" s="19"/>
      <c r="D42" s="19"/>
      <c r="E42" s="19"/>
      <c r="F42" s="19"/>
      <c r="G42" s="19"/>
    </row>
  </sheetData>
  <mergeCells count="4">
    <mergeCell ref="A3:B3"/>
    <mergeCell ref="A2:G2"/>
    <mergeCell ref="A1:G1"/>
    <mergeCell ref="A5:G5"/>
  </mergeCells>
  <dataValidations count="1">
    <dataValidation type="list" errorStyle="warning" allowBlank="1" showErrorMessage="1" errorTitle="Not in the list" error="Pick from the list, or press Yes to keep your own answer." sqref="D8:D42" xr:uid="{00000000-0002-0000-0400-000000000000}">
      <formula1>"Theory,Practical,Theory + Practical"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15A85"/>
    <pageSetUpPr fitToPage="1"/>
  </sheetPr>
  <dimension ref="A1:I68"/>
  <sheetViews>
    <sheetView showGridLines="0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6" customWidth="1"/>
    <col min="2" max="2" width="20" customWidth="1"/>
    <col min="3" max="3" width="18" customWidth="1"/>
    <col min="4" max="4" width="22" customWidth="1"/>
    <col min="5" max="5" width="30" customWidth="1"/>
    <col min="6" max="6" width="16" customWidth="1"/>
    <col min="7" max="7" width="26" customWidth="1"/>
    <col min="8" max="9" width="14" customWidth="1"/>
  </cols>
  <sheetData>
    <row r="1" spans="1:9" ht="34" customHeight="1" x14ac:dyDescent="0.35">
      <c r="A1" s="41" t="s">
        <v>196</v>
      </c>
      <c r="B1" s="42"/>
      <c r="C1" s="42"/>
      <c r="D1" s="42"/>
      <c r="E1" s="42"/>
      <c r="F1" s="42"/>
      <c r="G1" s="42"/>
      <c r="H1" s="42"/>
      <c r="I1" s="42"/>
    </row>
    <row r="2" spans="1:9" ht="30" customHeight="1" x14ac:dyDescent="0.35">
      <c r="A2" s="46" t="s">
        <v>197</v>
      </c>
      <c r="B2" s="42"/>
      <c r="C2" s="42"/>
      <c r="D2" s="42"/>
      <c r="E2" s="42"/>
      <c r="F2" s="42"/>
      <c r="G2" s="42"/>
      <c r="H2" s="42"/>
      <c r="I2" s="42"/>
    </row>
    <row r="3" spans="1:9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9" ht="22" customHeight="1" x14ac:dyDescent="0.35">
      <c r="A5" s="43" t="s">
        <v>198</v>
      </c>
      <c r="B5" s="44"/>
      <c r="C5" s="44"/>
      <c r="D5" s="44"/>
      <c r="E5" s="44"/>
      <c r="F5" s="44"/>
      <c r="G5" s="44"/>
      <c r="H5" s="44"/>
      <c r="I5" s="44"/>
    </row>
    <row r="6" spans="1:9" ht="18" customHeight="1" x14ac:dyDescent="0.35">
      <c r="A6" s="38" t="s">
        <v>199</v>
      </c>
      <c r="B6" s="28"/>
      <c r="C6" s="28"/>
      <c r="D6" s="28"/>
      <c r="E6" s="28"/>
      <c r="F6" s="28"/>
      <c r="G6" s="28"/>
      <c r="H6" s="28"/>
      <c r="I6" s="28"/>
    </row>
    <row r="7" spans="1:9" ht="30" customHeight="1" x14ac:dyDescent="0.35">
      <c r="A7" s="9" t="s">
        <v>200</v>
      </c>
      <c r="B7" s="9" t="s">
        <v>201</v>
      </c>
      <c r="C7" s="9" t="s">
        <v>202</v>
      </c>
      <c r="D7" s="9" t="s">
        <v>203</v>
      </c>
      <c r="E7" s="9" t="s">
        <v>204</v>
      </c>
      <c r="F7" s="9" t="s">
        <v>205</v>
      </c>
      <c r="G7" s="9" t="s">
        <v>206</v>
      </c>
      <c r="H7" s="9" t="s">
        <v>207</v>
      </c>
      <c r="I7" s="9" t="s">
        <v>208</v>
      </c>
    </row>
    <row r="8" spans="1:9" ht="22" customHeight="1" x14ac:dyDescent="0.35">
      <c r="A8" s="23" t="s">
        <v>179</v>
      </c>
      <c r="B8" s="23" t="s">
        <v>209</v>
      </c>
      <c r="C8" s="23" t="s">
        <v>191</v>
      </c>
      <c r="D8" s="23" t="s">
        <v>210</v>
      </c>
      <c r="E8" s="23" t="s">
        <v>211</v>
      </c>
      <c r="F8" s="23" t="s">
        <v>212</v>
      </c>
      <c r="G8" s="23" t="s">
        <v>191</v>
      </c>
      <c r="H8" s="23">
        <v>6</v>
      </c>
      <c r="I8" s="23" t="s">
        <v>213</v>
      </c>
    </row>
    <row r="9" spans="1:9" ht="21" customHeight="1" x14ac:dyDescent="0.35">
      <c r="A9" s="19"/>
      <c r="B9" s="19"/>
      <c r="C9" s="19"/>
      <c r="D9" s="19"/>
      <c r="E9" s="19"/>
      <c r="F9" s="19"/>
      <c r="G9" s="19"/>
      <c r="H9" s="19"/>
      <c r="I9" s="19"/>
    </row>
    <row r="10" spans="1:9" ht="21" customHeight="1" x14ac:dyDescent="0.35">
      <c r="A10" s="19"/>
      <c r="B10" s="19"/>
      <c r="C10" s="19"/>
      <c r="D10" s="19"/>
      <c r="E10" s="19"/>
      <c r="F10" s="19"/>
      <c r="G10" s="19"/>
      <c r="H10" s="19"/>
      <c r="I10" s="19"/>
    </row>
    <row r="11" spans="1:9" ht="21" customHeight="1" x14ac:dyDescent="0.35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21" customHeight="1" x14ac:dyDescent="0.35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21" customHeight="1" x14ac:dyDescent="0.35">
      <c r="A13" s="19"/>
      <c r="B13" s="19"/>
      <c r="C13" s="19"/>
      <c r="D13" s="19"/>
      <c r="E13" s="19"/>
      <c r="F13" s="19"/>
      <c r="G13" s="19"/>
      <c r="H13" s="19"/>
      <c r="I13" s="19"/>
    </row>
    <row r="14" spans="1:9" ht="21" customHeight="1" x14ac:dyDescent="0.35">
      <c r="A14" s="19"/>
      <c r="B14" s="19"/>
      <c r="C14" s="19"/>
      <c r="D14" s="19"/>
      <c r="E14" s="19"/>
      <c r="F14" s="19"/>
      <c r="G14" s="19"/>
      <c r="H14" s="19"/>
      <c r="I14" s="19"/>
    </row>
    <row r="15" spans="1:9" ht="21" customHeight="1" x14ac:dyDescent="0.35">
      <c r="A15" s="19"/>
      <c r="B15" s="19"/>
      <c r="C15" s="19"/>
      <c r="D15" s="19"/>
      <c r="E15" s="19"/>
      <c r="F15" s="19"/>
      <c r="G15" s="19"/>
      <c r="H15" s="19"/>
      <c r="I15" s="19"/>
    </row>
    <row r="16" spans="1:9" ht="21" customHeight="1" x14ac:dyDescent="0.35">
      <c r="A16" s="19"/>
      <c r="B16" s="19"/>
      <c r="C16" s="19"/>
      <c r="D16" s="19"/>
      <c r="E16" s="19"/>
      <c r="F16" s="19"/>
      <c r="G16" s="19"/>
      <c r="H16" s="19"/>
      <c r="I16" s="19"/>
    </row>
    <row r="17" spans="1:9" ht="21" customHeight="1" x14ac:dyDescent="0.35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21" customHeight="1" x14ac:dyDescent="0.3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21" customHeight="1" x14ac:dyDescent="0.35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21" customHeight="1" x14ac:dyDescent="0.35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21" customHeight="1" x14ac:dyDescent="0.3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21" customHeight="1" x14ac:dyDescent="0.35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21" customHeight="1" x14ac:dyDescent="0.3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21" customHeight="1" x14ac:dyDescent="0.35">
      <c r="A24" s="19"/>
      <c r="B24" s="19"/>
      <c r="C24" s="19"/>
      <c r="D24" s="19"/>
      <c r="E24" s="19"/>
      <c r="F24" s="19"/>
      <c r="G24" s="19"/>
      <c r="H24" s="19"/>
      <c r="I24" s="19"/>
    </row>
    <row r="25" spans="1:9" ht="21" customHeight="1" x14ac:dyDescent="0.35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21" customHeight="1" x14ac:dyDescent="0.35">
      <c r="A26" s="19"/>
      <c r="B26" s="19"/>
      <c r="C26" s="19"/>
      <c r="D26" s="19"/>
      <c r="E26" s="19"/>
      <c r="F26" s="19"/>
      <c r="G26" s="19"/>
      <c r="H26" s="19"/>
      <c r="I26" s="19"/>
    </row>
    <row r="27" spans="1:9" ht="21" customHeight="1" x14ac:dyDescent="0.35">
      <c r="A27" s="19"/>
      <c r="B27" s="19"/>
      <c r="C27" s="19"/>
      <c r="D27" s="19"/>
      <c r="E27" s="19"/>
      <c r="F27" s="19"/>
      <c r="G27" s="19"/>
      <c r="H27" s="19"/>
      <c r="I27" s="19"/>
    </row>
    <row r="28" spans="1:9" ht="21" customHeight="1" x14ac:dyDescent="0.35">
      <c r="A28" s="19"/>
      <c r="B28" s="19"/>
      <c r="C28" s="19"/>
      <c r="D28" s="19"/>
      <c r="E28" s="19"/>
      <c r="F28" s="19"/>
      <c r="G28" s="19"/>
      <c r="H28" s="19"/>
      <c r="I28" s="19"/>
    </row>
    <row r="29" spans="1:9" ht="21" customHeight="1" x14ac:dyDescent="0.35">
      <c r="A29" s="19"/>
      <c r="B29" s="19"/>
      <c r="C29" s="19"/>
      <c r="D29" s="19"/>
      <c r="E29" s="19"/>
      <c r="F29" s="19"/>
      <c r="G29" s="19"/>
      <c r="H29" s="19"/>
      <c r="I29" s="19"/>
    </row>
    <row r="30" spans="1:9" ht="21" customHeight="1" x14ac:dyDescent="0.35">
      <c r="A30" s="19"/>
      <c r="B30" s="19"/>
      <c r="C30" s="19"/>
      <c r="D30" s="19"/>
      <c r="E30" s="19"/>
      <c r="F30" s="19"/>
      <c r="G30" s="19"/>
      <c r="H30" s="19"/>
      <c r="I30" s="19"/>
    </row>
    <row r="31" spans="1:9" ht="21" customHeight="1" x14ac:dyDescent="0.35">
      <c r="A31" s="19"/>
      <c r="B31" s="19"/>
      <c r="C31" s="19"/>
      <c r="D31" s="19"/>
      <c r="E31" s="19"/>
      <c r="F31" s="19"/>
      <c r="G31" s="19"/>
      <c r="H31" s="19"/>
      <c r="I31" s="19"/>
    </row>
    <row r="32" spans="1:9" ht="21" customHeight="1" x14ac:dyDescent="0.35">
      <c r="A32" s="19"/>
      <c r="B32" s="19"/>
      <c r="C32" s="19"/>
      <c r="D32" s="19"/>
      <c r="E32" s="19"/>
      <c r="F32" s="19"/>
      <c r="G32" s="19"/>
      <c r="H32" s="19"/>
      <c r="I32" s="19"/>
    </row>
    <row r="33" spans="1:9" ht="21" customHeight="1" x14ac:dyDescent="0.35">
      <c r="A33" s="19"/>
      <c r="B33" s="19"/>
      <c r="C33" s="19"/>
      <c r="D33" s="19"/>
      <c r="E33" s="19"/>
      <c r="F33" s="19"/>
      <c r="G33" s="19"/>
      <c r="H33" s="19"/>
      <c r="I33" s="19"/>
    </row>
    <row r="34" spans="1:9" ht="21" customHeight="1" x14ac:dyDescent="0.35">
      <c r="A34" s="19"/>
      <c r="B34" s="19"/>
      <c r="C34" s="19"/>
      <c r="D34" s="19"/>
      <c r="E34" s="19"/>
      <c r="F34" s="19"/>
      <c r="G34" s="19"/>
      <c r="H34" s="19"/>
      <c r="I34" s="19"/>
    </row>
    <row r="35" spans="1:9" ht="21" customHeight="1" x14ac:dyDescent="0.35">
      <c r="A35" s="19"/>
      <c r="B35" s="19"/>
      <c r="C35" s="19"/>
      <c r="D35" s="19"/>
      <c r="E35" s="19"/>
      <c r="F35" s="19"/>
      <c r="G35" s="19"/>
      <c r="H35" s="19"/>
      <c r="I35" s="19"/>
    </row>
    <row r="36" spans="1:9" ht="21" customHeight="1" x14ac:dyDescent="0.35">
      <c r="A36" s="19"/>
      <c r="B36" s="19"/>
      <c r="C36" s="19"/>
      <c r="D36" s="19"/>
      <c r="E36" s="19"/>
      <c r="F36" s="19"/>
      <c r="G36" s="19"/>
      <c r="H36" s="19"/>
      <c r="I36" s="19"/>
    </row>
    <row r="37" spans="1:9" ht="21" customHeight="1" x14ac:dyDescent="0.35">
      <c r="A37" s="19"/>
      <c r="B37" s="19"/>
      <c r="C37" s="19"/>
      <c r="D37" s="19"/>
      <c r="E37" s="19"/>
      <c r="F37" s="19"/>
      <c r="G37" s="19"/>
      <c r="H37" s="19"/>
      <c r="I37" s="19"/>
    </row>
    <row r="38" spans="1:9" ht="21" customHeight="1" x14ac:dyDescent="0.35">
      <c r="A38" s="19"/>
      <c r="B38" s="19"/>
      <c r="C38" s="19"/>
      <c r="D38" s="19"/>
      <c r="E38" s="19"/>
      <c r="F38" s="19"/>
      <c r="G38" s="19"/>
      <c r="H38" s="19"/>
      <c r="I38" s="19"/>
    </row>
    <row r="39" spans="1:9" ht="21" customHeight="1" x14ac:dyDescent="0.35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21" customHeight="1" x14ac:dyDescent="0.35">
      <c r="A40" s="19"/>
      <c r="B40" s="19"/>
      <c r="C40" s="19"/>
      <c r="D40" s="19"/>
      <c r="E40" s="19"/>
      <c r="F40" s="19"/>
      <c r="G40" s="19"/>
      <c r="H40" s="19"/>
      <c r="I40" s="19"/>
    </row>
    <row r="41" spans="1:9" ht="21" customHeight="1" x14ac:dyDescent="0.35">
      <c r="A41" s="19"/>
      <c r="B41" s="19"/>
      <c r="C41" s="19"/>
      <c r="D41" s="19"/>
      <c r="E41" s="19"/>
      <c r="F41" s="19"/>
      <c r="G41" s="19"/>
      <c r="H41" s="19"/>
      <c r="I41" s="19"/>
    </row>
    <row r="42" spans="1:9" ht="21" customHeight="1" x14ac:dyDescent="0.35">
      <c r="A42" s="19"/>
      <c r="B42" s="19"/>
      <c r="C42" s="19"/>
      <c r="D42" s="19"/>
      <c r="E42" s="19"/>
      <c r="F42" s="19"/>
      <c r="G42" s="19"/>
      <c r="H42" s="19"/>
      <c r="I42" s="19"/>
    </row>
    <row r="43" spans="1:9" ht="21" customHeight="1" x14ac:dyDescent="0.35">
      <c r="A43" s="19"/>
      <c r="B43" s="19"/>
      <c r="C43" s="19"/>
      <c r="D43" s="19"/>
      <c r="E43" s="19"/>
      <c r="F43" s="19"/>
      <c r="G43" s="19"/>
      <c r="H43" s="19"/>
      <c r="I43" s="19"/>
    </row>
    <row r="44" spans="1:9" ht="21" customHeight="1" x14ac:dyDescent="0.35">
      <c r="A44" s="19"/>
      <c r="B44" s="19"/>
      <c r="C44" s="19"/>
      <c r="D44" s="19"/>
      <c r="E44" s="19"/>
      <c r="F44" s="19"/>
      <c r="G44" s="19"/>
      <c r="H44" s="19"/>
      <c r="I44" s="19"/>
    </row>
    <row r="45" spans="1:9" ht="21" customHeight="1" x14ac:dyDescent="0.35">
      <c r="A45" s="19"/>
      <c r="B45" s="19"/>
      <c r="C45" s="19"/>
      <c r="D45" s="19"/>
      <c r="E45" s="19"/>
      <c r="F45" s="19"/>
      <c r="G45" s="19"/>
      <c r="H45" s="19"/>
      <c r="I45" s="19"/>
    </row>
    <row r="46" spans="1:9" ht="21" customHeight="1" x14ac:dyDescent="0.35">
      <c r="A46" s="19"/>
      <c r="B46" s="19"/>
      <c r="C46" s="19"/>
      <c r="D46" s="19"/>
      <c r="E46" s="19"/>
      <c r="F46" s="19"/>
      <c r="G46" s="19"/>
      <c r="H46" s="19"/>
      <c r="I46" s="19"/>
    </row>
    <row r="47" spans="1:9" ht="21" customHeight="1" x14ac:dyDescent="0.35">
      <c r="A47" s="19"/>
      <c r="B47" s="19"/>
      <c r="C47" s="19"/>
      <c r="D47" s="19"/>
      <c r="E47" s="19"/>
      <c r="F47" s="19"/>
      <c r="G47" s="19"/>
      <c r="H47" s="19"/>
      <c r="I47" s="19"/>
    </row>
    <row r="48" spans="1:9" ht="21" customHeight="1" x14ac:dyDescent="0.35">
      <c r="A48" s="19"/>
      <c r="B48" s="19"/>
      <c r="C48" s="19"/>
      <c r="D48" s="19"/>
      <c r="E48" s="19"/>
      <c r="F48" s="19"/>
      <c r="G48" s="19"/>
      <c r="H48" s="19"/>
      <c r="I48" s="19"/>
    </row>
    <row r="49" spans="1:9" ht="21" customHeight="1" x14ac:dyDescent="0.35">
      <c r="A49" s="19"/>
      <c r="B49" s="19"/>
      <c r="C49" s="19"/>
      <c r="D49" s="19"/>
      <c r="E49" s="19"/>
      <c r="F49" s="19"/>
      <c r="G49" s="19"/>
      <c r="H49" s="19"/>
      <c r="I49" s="19"/>
    </row>
    <row r="50" spans="1:9" ht="21" customHeight="1" x14ac:dyDescent="0.35">
      <c r="A50" s="19"/>
      <c r="B50" s="19"/>
      <c r="C50" s="19"/>
      <c r="D50" s="19"/>
      <c r="E50" s="19"/>
      <c r="F50" s="19"/>
      <c r="G50" s="19"/>
      <c r="H50" s="19"/>
      <c r="I50" s="19"/>
    </row>
    <row r="51" spans="1:9" ht="21" customHeight="1" x14ac:dyDescent="0.35">
      <c r="A51" s="19"/>
      <c r="B51" s="19"/>
      <c r="C51" s="19"/>
      <c r="D51" s="19"/>
      <c r="E51" s="19"/>
      <c r="F51" s="19"/>
      <c r="G51" s="19"/>
      <c r="H51" s="19"/>
      <c r="I51" s="19"/>
    </row>
    <row r="52" spans="1:9" ht="21" customHeight="1" x14ac:dyDescent="0.35">
      <c r="A52" s="19"/>
      <c r="B52" s="19"/>
      <c r="C52" s="19"/>
      <c r="D52" s="19"/>
      <c r="E52" s="19"/>
      <c r="F52" s="19"/>
      <c r="G52" s="19"/>
      <c r="H52" s="19"/>
      <c r="I52" s="19"/>
    </row>
    <row r="53" spans="1:9" ht="21" customHeight="1" x14ac:dyDescent="0.35">
      <c r="A53" s="19"/>
      <c r="B53" s="19"/>
      <c r="C53" s="19"/>
      <c r="D53" s="19"/>
      <c r="E53" s="19"/>
      <c r="F53" s="19"/>
      <c r="G53" s="19"/>
      <c r="H53" s="19"/>
      <c r="I53" s="19"/>
    </row>
    <row r="54" spans="1:9" ht="21" customHeight="1" x14ac:dyDescent="0.35">
      <c r="A54" s="19"/>
      <c r="B54" s="19"/>
      <c r="C54" s="19"/>
      <c r="D54" s="19"/>
      <c r="E54" s="19"/>
      <c r="F54" s="19"/>
      <c r="G54" s="19"/>
      <c r="H54" s="19"/>
      <c r="I54" s="19"/>
    </row>
    <row r="55" spans="1:9" ht="21" customHeight="1" x14ac:dyDescent="0.35">
      <c r="A55" s="19"/>
      <c r="B55" s="19"/>
      <c r="C55" s="19"/>
      <c r="D55" s="19"/>
      <c r="E55" s="19"/>
      <c r="F55" s="19"/>
      <c r="G55" s="19"/>
      <c r="H55" s="19"/>
      <c r="I55" s="19"/>
    </row>
    <row r="56" spans="1:9" ht="21" customHeight="1" x14ac:dyDescent="0.35">
      <c r="A56" s="19"/>
      <c r="B56" s="19"/>
      <c r="C56" s="19"/>
      <c r="D56" s="19"/>
      <c r="E56" s="19"/>
      <c r="F56" s="19"/>
      <c r="G56" s="19"/>
      <c r="H56" s="19"/>
      <c r="I56" s="19"/>
    </row>
    <row r="57" spans="1:9" ht="21" customHeight="1" x14ac:dyDescent="0.35">
      <c r="A57" s="19"/>
      <c r="B57" s="19"/>
      <c r="C57" s="19"/>
      <c r="D57" s="19"/>
      <c r="E57" s="19"/>
      <c r="F57" s="19"/>
      <c r="G57" s="19"/>
      <c r="H57" s="19"/>
      <c r="I57" s="19"/>
    </row>
    <row r="58" spans="1:9" ht="21" customHeight="1" x14ac:dyDescent="0.35">
      <c r="A58" s="19"/>
      <c r="B58" s="19"/>
      <c r="C58" s="19"/>
      <c r="D58" s="19"/>
      <c r="E58" s="19"/>
      <c r="F58" s="19"/>
      <c r="G58" s="19"/>
      <c r="H58" s="19"/>
      <c r="I58" s="19"/>
    </row>
    <row r="59" spans="1:9" ht="21" customHeight="1" x14ac:dyDescent="0.35">
      <c r="A59" s="19"/>
      <c r="B59" s="19"/>
      <c r="C59" s="19"/>
      <c r="D59" s="19"/>
      <c r="E59" s="19"/>
      <c r="F59" s="19"/>
      <c r="G59" s="19"/>
      <c r="H59" s="19"/>
      <c r="I59" s="19"/>
    </row>
    <row r="60" spans="1:9" ht="21" customHeight="1" x14ac:dyDescent="0.35">
      <c r="A60" s="19"/>
      <c r="B60" s="19"/>
      <c r="C60" s="19"/>
      <c r="D60" s="19"/>
      <c r="E60" s="19"/>
      <c r="F60" s="19"/>
      <c r="G60" s="19"/>
      <c r="H60" s="19"/>
      <c r="I60" s="19"/>
    </row>
    <row r="61" spans="1:9" ht="21" customHeight="1" x14ac:dyDescent="0.35">
      <c r="A61" s="19"/>
      <c r="B61" s="19"/>
      <c r="C61" s="19"/>
      <c r="D61" s="19"/>
      <c r="E61" s="19"/>
      <c r="F61" s="19"/>
      <c r="G61" s="19"/>
      <c r="H61" s="19"/>
      <c r="I61" s="19"/>
    </row>
    <row r="62" spans="1:9" ht="21" customHeight="1" x14ac:dyDescent="0.35">
      <c r="A62" s="19"/>
      <c r="B62" s="19"/>
      <c r="C62" s="19"/>
      <c r="D62" s="19"/>
      <c r="E62" s="19"/>
      <c r="F62" s="19"/>
      <c r="G62" s="19"/>
      <c r="H62" s="19"/>
      <c r="I62" s="19"/>
    </row>
    <row r="63" spans="1:9" ht="21" customHeight="1" x14ac:dyDescent="0.35">
      <c r="A63" s="19"/>
      <c r="B63" s="19"/>
      <c r="C63" s="19"/>
      <c r="D63" s="19"/>
      <c r="E63" s="19"/>
      <c r="F63" s="19"/>
      <c r="G63" s="19"/>
      <c r="H63" s="19"/>
      <c r="I63" s="19"/>
    </row>
    <row r="64" spans="1:9" ht="21" customHeight="1" x14ac:dyDescent="0.35">
      <c r="A64" s="19"/>
      <c r="B64" s="19"/>
      <c r="C64" s="19"/>
      <c r="D64" s="19"/>
      <c r="E64" s="19"/>
      <c r="F64" s="19"/>
      <c r="G64" s="19"/>
      <c r="H64" s="19"/>
      <c r="I64" s="19"/>
    </row>
    <row r="65" spans="1:9" ht="21" customHeight="1" x14ac:dyDescent="0.35">
      <c r="A65" s="19"/>
      <c r="B65" s="19"/>
      <c r="C65" s="19"/>
      <c r="D65" s="19"/>
      <c r="E65" s="19"/>
      <c r="F65" s="19"/>
      <c r="G65" s="19"/>
      <c r="H65" s="19"/>
      <c r="I65" s="19"/>
    </row>
    <row r="66" spans="1:9" ht="21" customHeight="1" x14ac:dyDescent="0.35">
      <c r="A66" s="19"/>
      <c r="B66" s="19"/>
      <c r="C66" s="19"/>
      <c r="D66" s="19"/>
      <c r="E66" s="19"/>
      <c r="F66" s="19"/>
      <c r="G66" s="19"/>
      <c r="H66" s="19"/>
      <c r="I66" s="19"/>
    </row>
    <row r="67" spans="1:9" ht="21" customHeight="1" x14ac:dyDescent="0.35">
      <c r="A67" s="19"/>
      <c r="B67" s="19"/>
      <c r="C67" s="19"/>
      <c r="D67" s="19"/>
      <c r="E67" s="19"/>
      <c r="F67" s="19"/>
      <c r="G67" s="19"/>
      <c r="H67" s="19"/>
      <c r="I67" s="19"/>
    </row>
    <row r="68" spans="1:9" ht="21" customHeight="1" x14ac:dyDescent="0.35">
      <c r="A68" s="19"/>
      <c r="B68" s="19"/>
      <c r="C68" s="19"/>
      <c r="D68" s="19"/>
      <c r="E68" s="19"/>
      <c r="F68" s="19"/>
      <c r="G68" s="19"/>
      <c r="H68" s="19"/>
      <c r="I68" s="19"/>
    </row>
  </sheetData>
  <mergeCells count="5">
    <mergeCell ref="A2:I2"/>
    <mergeCell ref="A5:I5"/>
    <mergeCell ref="A1:I1"/>
    <mergeCell ref="A6:I6"/>
    <mergeCell ref="A3:B3"/>
  </mergeCells>
  <dataValidations count="2">
    <dataValidation type="list" errorStyle="warning" allowBlank="1" showErrorMessage="1" errorTitle="Not in the list" error="Pick from the list, or press Yes to keep your own answer." sqref="D9:D68" xr:uid="{00000000-0002-0000-0500-000000000000}">
      <formula1>"Administrator,Principal,Vice Principal,Admission In-charge,Teacher,Warden,Accountant,Office Staff"</formula1>
    </dataValidation>
    <dataValidation type="list" errorStyle="warning" allowBlank="1" showErrorMessage="1" errorTitle="Not in the list" error="Pick from the list, or press Yes to keep your own answer." sqref="I9:I68" xr:uid="{00000000-0002-0000-0500-000001000000}">
      <formula1>"Yes,No"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15A85"/>
    <pageSetUpPr fitToPage="1"/>
  </sheetPr>
  <dimension ref="A1:F30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3" width="16" customWidth="1"/>
    <col min="4" max="4" width="18" customWidth="1"/>
    <col min="5" max="5" width="26" customWidth="1"/>
    <col min="6" max="6" width="40" customWidth="1"/>
  </cols>
  <sheetData>
    <row r="1" spans="1:6" ht="34" customHeight="1" x14ac:dyDescent="0.35">
      <c r="A1" s="41" t="s">
        <v>214</v>
      </c>
      <c r="B1" s="42"/>
      <c r="C1" s="42"/>
      <c r="D1" s="42"/>
      <c r="E1" s="42"/>
      <c r="F1" s="42"/>
    </row>
    <row r="2" spans="1:6" ht="30" customHeight="1" x14ac:dyDescent="0.35">
      <c r="A2" s="46" t="s">
        <v>215</v>
      </c>
      <c r="B2" s="42"/>
      <c r="C2" s="42"/>
      <c r="D2" s="42"/>
      <c r="E2" s="42"/>
      <c r="F2" s="42"/>
    </row>
    <row r="3" spans="1:6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6" ht="22" customHeight="1" x14ac:dyDescent="0.35">
      <c r="A5" s="43" t="s">
        <v>216</v>
      </c>
      <c r="B5" s="44"/>
      <c r="C5" s="44"/>
      <c r="D5" s="44"/>
      <c r="E5" s="44"/>
      <c r="F5" s="44"/>
    </row>
    <row r="6" spans="1:6" ht="24" customHeight="1" x14ac:dyDescent="0.35">
      <c r="A6" s="47" t="s">
        <v>217</v>
      </c>
      <c r="B6" s="48"/>
      <c r="C6" s="39"/>
      <c r="D6" s="40"/>
      <c r="E6" s="40"/>
      <c r="F6" s="20" t="s">
        <v>218</v>
      </c>
    </row>
    <row r="7" spans="1:6" ht="24" customHeight="1" x14ac:dyDescent="0.35">
      <c r="A7" s="47" t="s">
        <v>219</v>
      </c>
      <c r="B7" s="48"/>
      <c r="C7" s="39"/>
      <c r="D7" s="40"/>
      <c r="E7" s="40"/>
      <c r="F7" s="20" t="s">
        <v>220</v>
      </c>
    </row>
    <row r="8" spans="1:6" ht="24" customHeight="1" x14ac:dyDescent="0.35">
      <c r="A8" s="47" t="s">
        <v>221</v>
      </c>
      <c r="B8" s="48"/>
      <c r="C8" s="39"/>
      <c r="D8" s="40"/>
      <c r="E8" s="40"/>
      <c r="F8" s="20" t="s">
        <v>222</v>
      </c>
    </row>
    <row r="9" spans="1:6" ht="24" customHeight="1" x14ac:dyDescent="0.35">
      <c r="A9" s="49" t="s">
        <v>223</v>
      </c>
      <c r="B9" s="48"/>
      <c r="C9" s="39"/>
      <c r="D9" s="40"/>
      <c r="E9" s="40"/>
      <c r="F9" s="20" t="s">
        <v>224</v>
      </c>
    </row>
    <row r="10" spans="1:6" ht="24" customHeight="1" x14ac:dyDescent="0.35">
      <c r="A10" s="49" t="s">
        <v>225</v>
      </c>
      <c r="B10" s="48"/>
      <c r="C10" s="39"/>
      <c r="D10" s="40"/>
      <c r="E10" s="40"/>
      <c r="F10" s="20" t="s">
        <v>226</v>
      </c>
    </row>
    <row r="12" spans="1:6" ht="22" customHeight="1" x14ac:dyDescent="0.35">
      <c r="A12" s="43" t="s">
        <v>227</v>
      </c>
      <c r="B12" s="44"/>
      <c r="C12" s="44"/>
      <c r="D12" s="44"/>
      <c r="E12" s="44"/>
      <c r="F12" s="44"/>
    </row>
    <row r="13" spans="1:6" ht="18" customHeight="1" x14ac:dyDescent="0.35">
      <c r="A13" s="38" t="s">
        <v>228</v>
      </c>
      <c r="B13" s="28"/>
      <c r="C13" s="28"/>
      <c r="D13" s="28"/>
      <c r="E13" s="28"/>
      <c r="F13" s="28"/>
    </row>
    <row r="14" spans="1:6" ht="30" customHeight="1" x14ac:dyDescent="0.35">
      <c r="A14" s="9" t="s">
        <v>229</v>
      </c>
      <c r="B14" s="9" t="s">
        <v>230</v>
      </c>
      <c r="C14" s="9" t="s">
        <v>231</v>
      </c>
      <c r="D14" s="9" t="s">
        <v>232</v>
      </c>
      <c r="E14" s="9" t="s">
        <v>233</v>
      </c>
      <c r="F14" s="9" t="s">
        <v>175</v>
      </c>
    </row>
    <row r="15" spans="1:6" ht="22" customHeight="1" x14ac:dyDescent="0.35">
      <c r="A15" s="23">
        <v>3</v>
      </c>
      <c r="B15" s="23" t="s">
        <v>234</v>
      </c>
      <c r="C15" s="23" t="s">
        <v>235</v>
      </c>
      <c r="D15" s="23" t="s">
        <v>236</v>
      </c>
      <c r="E15" s="23" t="s">
        <v>237</v>
      </c>
      <c r="F15" s="23" t="s">
        <v>238</v>
      </c>
    </row>
    <row r="16" spans="1:6" ht="21" customHeight="1" x14ac:dyDescent="0.35">
      <c r="A16" s="19"/>
      <c r="B16" s="19"/>
      <c r="C16" s="19"/>
      <c r="D16" s="19"/>
      <c r="E16" s="19"/>
      <c r="F16" s="19"/>
    </row>
    <row r="17" spans="1:6" ht="21" customHeight="1" x14ac:dyDescent="0.35">
      <c r="A17" s="19"/>
      <c r="B17" s="19"/>
      <c r="C17" s="19"/>
      <c r="D17" s="19"/>
      <c r="E17" s="19"/>
      <c r="F17" s="19"/>
    </row>
    <row r="18" spans="1:6" ht="21" customHeight="1" x14ac:dyDescent="0.35">
      <c r="A18" s="19"/>
      <c r="B18" s="19"/>
      <c r="C18" s="19"/>
      <c r="D18" s="19"/>
      <c r="E18" s="19"/>
      <c r="F18" s="19"/>
    </row>
    <row r="19" spans="1:6" ht="21" customHeight="1" x14ac:dyDescent="0.35">
      <c r="A19" s="19"/>
      <c r="B19" s="19"/>
      <c r="C19" s="19"/>
      <c r="D19" s="19"/>
      <c r="E19" s="19"/>
      <c r="F19" s="19"/>
    </row>
    <row r="20" spans="1:6" ht="21" customHeight="1" x14ac:dyDescent="0.35">
      <c r="A20" s="19"/>
      <c r="B20" s="19"/>
      <c r="C20" s="19"/>
      <c r="D20" s="19"/>
      <c r="E20" s="19"/>
      <c r="F20" s="19"/>
    </row>
    <row r="21" spans="1:6" ht="21" customHeight="1" x14ac:dyDescent="0.35">
      <c r="A21" s="19"/>
      <c r="B21" s="19"/>
      <c r="C21" s="19"/>
      <c r="D21" s="19"/>
      <c r="E21" s="19"/>
      <c r="F21" s="19"/>
    </row>
    <row r="22" spans="1:6" ht="21" customHeight="1" x14ac:dyDescent="0.35">
      <c r="A22" s="19"/>
      <c r="B22" s="19"/>
      <c r="C22" s="19"/>
      <c r="D22" s="19"/>
      <c r="E22" s="19"/>
      <c r="F22" s="19"/>
    </row>
    <row r="23" spans="1:6" ht="21" customHeight="1" x14ac:dyDescent="0.35">
      <c r="A23" s="19"/>
      <c r="B23" s="19"/>
      <c r="C23" s="19"/>
      <c r="D23" s="19"/>
      <c r="E23" s="19"/>
      <c r="F23" s="19"/>
    </row>
    <row r="24" spans="1:6" ht="21" customHeight="1" x14ac:dyDescent="0.35">
      <c r="A24" s="19"/>
      <c r="B24" s="19"/>
      <c r="C24" s="19"/>
      <c r="D24" s="19"/>
      <c r="E24" s="19"/>
      <c r="F24" s="19"/>
    </row>
    <row r="25" spans="1:6" ht="21" customHeight="1" x14ac:dyDescent="0.35">
      <c r="A25" s="19"/>
      <c r="B25" s="19"/>
      <c r="C25" s="19"/>
      <c r="D25" s="19"/>
      <c r="E25" s="19"/>
      <c r="F25" s="19"/>
    </row>
    <row r="26" spans="1:6" ht="21" customHeight="1" x14ac:dyDescent="0.35">
      <c r="A26" s="19"/>
      <c r="B26" s="19"/>
      <c r="C26" s="19"/>
      <c r="D26" s="19"/>
      <c r="E26" s="19"/>
      <c r="F26" s="19"/>
    </row>
    <row r="27" spans="1:6" ht="21" customHeight="1" x14ac:dyDescent="0.35">
      <c r="A27" s="19"/>
      <c r="B27" s="19"/>
      <c r="C27" s="19"/>
      <c r="D27" s="19"/>
      <c r="E27" s="19"/>
      <c r="F27" s="19"/>
    </row>
    <row r="28" spans="1:6" ht="21" customHeight="1" x14ac:dyDescent="0.35">
      <c r="A28" s="19"/>
      <c r="B28" s="19"/>
      <c r="C28" s="19"/>
      <c r="D28" s="19"/>
      <c r="E28" s="19"/>
      <c r="F28" s="19"/>
    </row>
    <row r="29" spans="1:6" ht="21" customHeight="1" x14ac:dyDescent="0.35">
      <c r="A29" s="19"/>
      <c r="B29" s="19"/>
      <c r="C29" s="19"/>
      <c r="D29" s="19"/>
      <c r="E29" s="19"/>
      <c r="F29" s="19"/>
    </row>
    <row r="30" spans="1:6" ht="21" customHeight="1" x14ac:dyDescent="0.35">
      <c r="A30" s="19"/>
      <c r="B30" s="19"/>
      <c r="C30" s="19"/>
      <c r="D30" s="19"/>
      <c r="E30" s="19"/>
      <c r="F30" s="19"/>
    </row>
  </sheetData>
  <mergeCells count="16">
    <mergeCell ref="A2:F2"/>
    <mergeCell ref="A7:B7"/>
    <mergeCell ref="A13:F13"/>
    <mergeCell ref="A1:F1"/>
    <mergeCell ref="A5:F5"/>
    <mergeCell ref="A9:B9"/>
    <mergeCell ref="C8:E8"/>
    <mergeCell ref="C9:E9"/>
    <mergeCell ref="A10:B10"/>
    <mergeCell ref="A12:F12"/>
    <mergeCell ref="C7:E7"/>
    <mergeCell ref="A8:B8"/>
    <mergeCell ref="A3:B3"/>
    <mergeCell ref="A6:B6"/>
    <mergeCell ref="C6:E6"/>
    <mergeCell ref="C10:E10"/>
  </mergeCells>
  <dataValidations count="2">
    <dataValidation type="list" errorStyle="warning" allowBlank="1" showErrorMessage="1" errorTitle="Not in the list" error="Pick from the list, or press Yes to keep your own answer." sqref="C9" xr:uid="{00000000-0002-0000-0600-000000000000}">
      <formula1>"Allowed,Not allowed,Only for practicals"</formula1>
    </dataValidation>
    <dataValidation type="list" errorStyle="warning" allowBlank="1" showErrorMessage="1" errorTitle="Not in the list" error="Pick from the list, or press Yes to keep your own answer." sqref="D16:D30" xr:uid="{00000000-0002-0000-0600-000001000000}">
      <formula1>"Class period,Short break,Lunch,Assembly,Games / Activity"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15A85"/>
    <pageSetUpPr fitToPage="1"/>
  </sheetPr>
  <dimension ref="A1:G4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0" customWidth="1"/>
    <col min="2" max="2" width="22" customWidth="1"/>
    <col min="3" max="3" width="15" customWidth="1"/>
    <col min="4" max="4" width="18" customWidth="1"/>
    <col min="5" max="6" width="22" customWidth="1"/>
    <col min="7" max="7" width="32" customWidth="1"/>
  </cols>
  <sheetData>
    <row r="1" spans="1:7" ht="34" customHeight="1" x14ac:dyDescent="0.35">
      <c r="A1" s="41" t="s">
        <v>239</v>
      </c>
      <c r="B1" s="42"/>
      <c r="C1" s="42"/>
      <c r="D1" s="42"/>
      <c r="E1" s="42"/>
      <c r="F1" s="42"/>
      <c r="G1" s="42"/>
    </row>
    <row r="2" spans="1:7" ht="30" customHeight="1" x14ac:dyDescent="0.35">
      <c r="A2" s="46" t="s">
        <v>240</v>
      </c>
      <c r="B2" s="42"/>
      <c r="C2" s="42"/>
      <c r="D2" s="42"/>
      <c r="E2" s="42"/>
      <c r="F2" s="42"/>
      <c r="G2" s="42"/>
    </row>
    <row r="3" spans="1:7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7" ht="22" customHeight="1" x14ac:dyDescent="0.35">
      <c r="A5" s="43" t="s">
        <v>241</v>
      </c>
      <c r="B5" s="44"/>
      <c r="C5" s="44"/>
      <c r="D5" s="44"/>
      <c r="E5" s="44"/>
      <c r="F5" s="44"/>
      <c r="G5" s="44"/>
    </row>
    <row r="6" spans="1:7" ht="24" customHeight="1" x14ac:dyDescent="0.35">
      <c r="A6" s="47" t="s">
        <v>242</v>
      </c>
      <c r="B6" s="48"/>
      <c r="C6" s="39"/>
      <c r="D6" s="40"/>
      <c r="E6" s="40"/>
      <c r="F6" s="40"/>
      <c r="G6" s="20" t="s">
        <v>243</v>
      </c>
    </row>
    <row r="7" spans="1:7" ht="24" customHeight="1" x14ac:dyDescent="0.35">
      <c r="A7" s="49" t="s">
        <v>244</v>
      </c>
      <c r="B7" s="48"/>
      <c r="C7" s="39"/>
      <c r="D7" s="40"/>
      <c r="E7" s="40"/>
      <c r="F7" s="40"/>
      <c r="G7" s="20" t="s">
        <v>245</v>
      </c>
    </row>
    <row r="8" spans="1:7" ht="24" customHeight="1" x14ac:dyDescent="0.35">
      <c r="A8" s="47" t="s">
        <v>246</v>
      </c>
      <c r="B8" s="48"/>
      <c r="C8" s="39"/>
      <c r="D8" s="40"/>
      <c r="E8" s="40"/>
      <c r="F8" s="40"/>
      <c r="G8" s="20"/>
    </row>
    <row r="9" spans="1:7" ht="24" customHeight="1" x14ac:dyDescent="0.35">
      <c r="A9" s="49" t="s">
        <v>247</v>
      </c>
      <c r="B9" s="48"/>
      <c r="C9" s="39"/>
      <c r="D9" s="40"/>
      <c r="E9" s="40"/>
      <c r="F9" s="40"/>
      <c r="G9" s="20" t="s">
        <v>248</v>
      </c>
    </row>
    <row r="10" spans="1:7" ht="24" customHeight="1" x14ac:dyDescent="0.35">
      <c r="A10" s="49" t="s">
        <v>249</v>
      </c>
      <c r="B10" s="48"/>
      <c r="C10" s="39"/>
      <c r="D10" s="40"/>
      <c r="E10" s="40"/>
      <c r="F10" s="40"/>
      <c r="G10" s="20" t="s">
        <v>250</v>
      </c>
    </row>
    <row r="12" spans="1:7" ht="22" customHeight="1" x14ac:dyDescent="0.35">
      <c r="A12" s="43" t="s">
        <v>251</v>
      </c>
      <c r="B12" s="44"/>
      <c r="C12" s="44"/>
      <c r="D12" s="44"/>
      <c r="E12" s="44"/>
      <c r="F12" s="44"/>
      <c r="G12" s="44"/>
    </row>
    <row r="13" spans="1:7" ht="18" customHeight="1" x14ac:dyDescent="0.35">
      <c r="A13" s="38" t="s">
        <v>252</v>
      </c>
      <c r="B13" s="28"/>
      <c r="C13" s="28"/>
      <c r="D13" s="28"/>
      <c r="E13" s="28"/>
      <c r="F13" s="28"/>
      <c r="G13" s="28"/>
    </row>
    <row r="14" spans="1:7" ht="30" customHeight="1" x14ac:dyDescent="0.35">
      <c r="A14" s="9" t="s">
        <v>253</v>
      </c>
      <c r="B14" s="9" t="s">
        <v>254</v>
      </c>
      <c r="C14" s="9" t="s">
        <v>255</v>
      </c>
      <c r="D14" s="9" t="s">
        <v>256</v>
      </c>
      <c r="E14" s="9" t="s">
        <v>257</v>
      </c>
      <c r="F14" s="9" t="s">
        <v>258</v>
      </c>
      <c r="G14" s="9" t="s">
        <v>175</v>
      </c>
    </row>
    <row r="15" spans="1:7" ht="22" customHeight="1" x14ac:dyDescent="0.35">
      <c r="A15" s="23" t="s">
        <v>259</v>
      </c>
      <c r="B15" s="23" t="s">
        <v>260</v>
      </c>
      <c r="C15" s="24">
        <v>12500</v>
      </c>
      <c r="D15" s="23" t="s">
        <v>261</v>
      </c>
      <c r="E15" s="23" t="s">
        <v>262</v>
      </c>
      <c r="F15" s="23" t="s">
        <v>263</v>
      </c>
      <c r="G15" s="23" t="s">
        <v>264</v>
      </c>
    </row>
    <row r="16" spans="1:7" ht="21" customHeight="1" x14ac:dyDescent="0.35">
      <c r="A16" s="19"/>
      <c r="B16" s="19"/>
      <c r="C16" s="25"/>
      <c r="D16" s="19"/>
      <c r="E16" s="19"/>
      <c r="F16" s="19"/>
      <c r="G16" s="19"/>
    </row>
    <row r="17" spans="1:7" ht="21" customHeight="1" x14ac:dyDescent="0.35">
      <c r="A17" s="19"/>
      <c r="B17" s="19"/>
      <c r="C17" s="25"/>
      <c r="D17" s="19"/>
      <c r="E17" s="19"/>
      <c r="F17" s="19"/>
      <c r="G17" s="19"/>
    </row>
    <row r="18" spans="1:7" ht="21" customHeight="1" x14ac:dyDescent="0.35">
      <c r="A18" s="19"/>
      <c r="B18" s="19"/>
      <c r="C18" s="25"/>
      <c r="D18" s="19"/>
      <c r="E18" s="19"/>
      <c r="F18" s="19"/>
      <c r="G18" s="19"/>
    </row>
    <row r="19" spans="1:7" ht="21" customHeight="1" x14ac:dyDescent="0.35">
      <c r="A19" s="19"/>
      <c r="B19" s="19"/>
      <c r="C19" s="25"/>
      <c r="D19" s="19"/>
      <c r="E19" s="19"/>
      <c r="F19" s="19"/>
      <c r="G19" s="19"/>
    </row>
    <row r="20" spans="1:7" ht="21" customHeight="1" x14ac:dyDescent="0.35">
      <c r="A20" s="19"/>
      <c r="B20" s="19"/>
      <c r="C20" s="25"/>
      <c r="D20" s="19"/>
      <c r="E20" s="19"/>
      <c r="F20" s="19"/>
      <c r="G20" s="19"/>
    </row>
    <row r="21" spans="1:7" ht="21" customHeight="1" x14ac:dyDescent="0.35">
      <c r="A21" s="19"/>
      <c r="B21" s="19"/>
      <c r="C21" s="25"/>
      <c r="D21" s="19"/>
      <c r="E21" s="19"/>
      <c r="F21" s="19"/>
      <c r="G21" s="19"/>
    </row>
    <row r="22" spans="1:7" ht="21" customHeight="1" x14ac:dyDescent="0.35">
      <c r="A22" s="19"/>
      <c r="B22" s="19"/>
      <c r="C22" s="25"/>
      <c r="D22" s="19"/>
      <c r="E22" s="19"/>
      <c r="F22" s="19"/>
      <c r="G22" s="19"/>
    </row>
    <row r="23" spans="1:7" ht="21" customHeight="1" x14ac:dyDescent="0.35">
      <c r="A23" s="19"/>
      <c r="B23" s="19"/>
      <c r="C23" s="25"/>
      <c r="D23" s="19"/>
      <c r="E23" s="19"/>
      <c r="F23" s="19"/>
      <c r="G23" s="19"/>
    </row>
    <row r="24" spans="1:7" ht="21" customHeight="1" x14ac:dyDescent="0.35">
      <c r="A24" s="19"/>
      <c r="B24" s="19"/>
      <c r="C24" s="25"/>
      <c r="D24" s="19"/>
      <c r="E24" s="19"/>
      <c r="F24" s="19"/>
      <c r="G24" s="19"/>
    </row>
    <row r="25" spans="1:7" ht="21" customHeight="1" x14ac:dyDescent="0.35">
      <c r="A25" s="19"/>
      <c r="B25" s="19"/>
      <c r="C25" s="25"/>
      <c r="D25" s="19"/>
      <c r="E25" s="19"/>
      <c r="F25" s="19"/>
      <c r="G25" s="19"/>
    </row>
    <row r="26" spans="1:7" ht="21" customHeight="1" x14ac:dyDescent="0.35">
      <c r="A26" s="19"/>
      <c r="B26" s="19"/>
      <c r="C26" s="25"/>
      <c r="D26" s="19"/>
      <c r="E26" s="19"/>
      <c r="F26" s="19"/>
      <c r="G26" s="19"/>
    </row>
    <row r="27" spans="1:7" ht="21" customHeight="1" x14ac:dyDescent="0.35">
      <c r="A27" s="19"/>
      <c r="B27" s="19"/>
      <c r="C27" s="25"/>
      <c r="D27" s="19"/>
      <c r="E27" s="19"/>
      <c r="F27" s="19"/>
      <c r="G27" s="19"/>
    </row>
    <row r="28" spans="1:7" ht="21" customHeight="1" x14ac:dyDescent="0.35">
      <c r="A28" s="19"/>
      <c r="B28" s="19"/>
      <c r="C28" s="25"/>
      <c r="D28" s="19"/>
      <c r="E28" s="19"/>
      <c r="F28" s="19"/>
      <c r="G28" s="19"/>
    </row>
    <row r="29" spans="1:7" ht="21" customHeight="1" x14ac:dyDescent="0.35">
      <c r="A29" s="19"/>
      <c r="B29" s="19"/>
      <c r="C29" s="25"/>
      <c r="D29" s="19"/>
      <c r="E29" s="19"/>
      <c r="F29" s="19"/>
      <c r="G29" s="19"/>
    </row>
    <row r="30" spans="1:7" ht="21" customHeight="1" x14ac:dyDescent="0.35">
      <c r="A30" s="19"/>
      <c r="B30" s="19"/>
      <c r="C30" s="25"/>
      <c r="D30" s="19"/>
      <c r="E30" s="19"/>
      <c r="F30" s="19"/>
      <c r="G30" s="19"/>
    </row>
    <row r="31" spans="1:7" ht="21" customHeight="1" x14ac:dyDescent="0.35">
      <c r="A31" s="19"/>
      <c r="B31" s="19"/>
      <c r="C31" s="25"/>
      <c r="D31" s="19"/>
      <c r="E31" s="19"/>
      <c r="F31" s="19"/>
      <c r="G31" s="19"/>
    </row>
    <row r="32" spans="1:7" ht="21" customHeight="1" x14ac:dyDescent="0.35">
      <c r="A32" s="19"/>
      <c r="B32" s="19"/>
      <c r="C32" s="25"/>
      <c r="D32" s="19"/>
      <c r="E32" s="19"/>
      <c r="F32" s="19"/>
      <c r="G32" s="19"/>
    </row>
    <row r="33" spans="1:7" ht="21" customHeight="1" x14ac:dyDescent="0.35">
      <c r="A33" s="19"/>
      <c r="B33" s="19"/>
      <c r="C33" s="25"/>
      <c r="D33" s="19"/>
      <c r="E33" s="19"/>
      <c r="F33" s="19"/>
      <c r="G33" s="19"/>
    </row>
    <row r="34" spans="1:7" ht="21" customHeight="1" x14ac:dyDescent="0.35">
      <c r="A34" s="19"/>
      <c r="B34" s="19"/>
      <c r="C34" s="25"/>
      <c r="D34" s="19"/>
      <c r="E34" s="19"/>
      <c r="F34" s="19"/>
      <c r="G34" s="19"/>
    </row>
    <row r="35" spans="1:7" ht="21" customHeight="1" x14ac:dyDescent="0.35">
      <c r="A35" s="19"/>
      <c r="B35" s="19"/>
      <c r="C35" s="25"/>
      <c r="D35" s="19"/>
      <c r="E35" s="19"/>
      <c r="F35" s="19"/>
      <c r="G35" s="19"/>
    </row>
    <row r="36" spans="1:7" ht="21" customHeight="1" x14ac:dyDescent="0.35">
      <c r="A36" s="19"/>
      <c r="B36" s="19"/>
      <c r="C36" s="25"/>
      <c r="D36" s="19"/>
      <c r="E36" s="19"/>
      <c r="F36" s="19"/>
      <c r="G36" s="19"/>
    </row>
    <row r="37" spans="1:7" ht="21" customHeight="1" x14ac:dyDescent="0.35">
      <c r="A37" s="19"/>
      <c r="B37" s="19"/>
      <c r="C37" s="25"/>
      <c r="D37" s="19"/>
      <c r="E37" s="19"/>
      <c r="F37" s="19"/>
      <c r="G37" s="19"/>
    </row>
    <row r="38" spans="1:7" ht="21" customHeight="1" x14ac:dyDescent="0.35">
      <c r="A38" s="19"/>
      <c r="B38" s="19"/>
      <c r="C38" s="25"/>
      <c r="D38" s="19"/>
      <c r="E38" s="19"/>
      <c r="F38" s="19"/>
      <c r="G38" s="19"/>
    </row>
    <row r="39" spans="1:7" ht="21" customHeight="1" x14ac:dyDescent="0.35">
      <c r="A39" s="19"/>
      <c r="B39" s="19"/>
      <c r="C39" s="25"/>
      <c r="D39" s="19"/>
      <c r="E39" s="19"/>
      <c r="F39" s="19"/>
      <c r="G39" s="19"/>
    </row>
    <row r="40" spans="1:7" ht="21" customHeight="1" x14ac:dyDescent="0.35">
      <c r="A40" s="19"/>
      <c r="B40" s="19"/>
      <c r="C40" s="25"/>
      <c r="D40" s="19"/>
      <c r="E40" s="19"/>
      <c r="F40" s="19"/>
      <c r="G40" s="19"/>
    </row>
    <row r="41" spans="1:7" ht="21" customHeight="1" x14ac:dyDescent="0.35">
      <c r="A41" s="19"/>
      <c r="B41" s="19"/>
      <c r="C41" s="25"/>
      <c r="D41" s="19"/>
      <c r="E41" s="19"/>
      <c r="F41" s="19"/>
      <c r="G41" s="19"/>
    </row>
    <row r="42" spans="1:7" ht="21" customHeight="1" x14ac:dyDescent="0.35">
      <c r="A42" s="19"/>
      <c r="B42" s="19"/>
      <c r="C42" s="25"/>
      <c r="D42" s="19"/>
      <c r="E42" s="19"/>
      <c r="F42" s="19"/>
      <c r="G42" s="19"/>
    </row>
    <row r="43" spans="1:7" ht="21" customHeight="1" x14ac:dyDescent="0.35">
      <c r="A43" s="19"/>
      <c r="B43" s="19"/>
      <c r="C43" s="25"/>
      <c r="D43" s="19"/>
      <c r="E43" s="19"/>
      <c r="F43" s="19"/>
      <c r="G43" s="19"/>
    </row>
    <row r="44" spans="1:7" ht="21" customHeight="1" x14ac:dyDescent="0.35">
      <c r="A44" s="19"/>
      <c r="B44" s="19"/>
      <c r="C44" s="25"/>
      <c r="D44" s="19"/>
      <c r="E44" s="19"/>
      <c r="F44" s="19"/>
      <c r="G44" s="19"/>
    </row>
    <row r="45" spans="1:7" ht="21" customHeight="1" x14ac:dyDescent="0.35">
      <c r="A45" s="19"/>
      <c r="B45" s="19"/>
      <c r="C45" s="25"/>
      <c r="D45" s="19"/>
      <c r="E45" s="19"/>
      <c r="F45" s="19"/>
      <c r="G45" s="19"/>
    </row>
    <row r="46" spans="1:7" x14ac:dyDescent="0.35">
      <c r="C46" s="26"/>
    </row>
  </sheetData>
  <mergeCells count="16">
    <mergeCell ref="C10:F10"/>
    <mergeCell ref="C9:F9"/>
    <mergeCell ref="A13:G13"/>
    <mergeCell ref="A1:G1"/>
    <mergeCell ref="A7:B7"/>
    <mergeCell ref="C8:F8"/>
    <mergeCell ref="A10:B10"/>
    <mergeCell ref="A12:G12"/>
    <mergeCell ref="C6:F6"/>
    <mergeCell ref="C7:F7"/>
    <mergeCell ref="A2:G2"/>
    <mergeCell ref="A9:B9"/>
    <mergeCell ref="A8:B8"/>
    <mergeCell ref="A3:B3"/>
    <mergeCell ref="A6:B6"/>
    <mergeCell ref="A5:G5"/>
  </mergeCells>
  <dataValidations count="3">
    <dataValidation type="list" errorStyle="warning" allowBlank="1" showErrorMessage="1" errorTitle="Not in the list" error="Pick from the list, or press Yes to keep your own answer." sqref="C8" xr:uid="{00000000-0002-0000-0700-000000000000}">
      <formula1>"1 (Annual),2,3,4 (Quarterly),12 (Monthly)"</formula1>
    </dataValidation>
    <dataValidation type="list" errorStyle="warning" allowBlank="1" showErrorMessage="1" errorTitle="Not in the list" error="Pick from the list, or press Yes to keep your own answer." sqref="B16:B45" xr:uid="{00000000-0002-0000-0700-000001000000}">
      <formula1>"Tuition,Admission,Exam,Hostel,Mess,Transport,Lab,Activity,Books &amp; Uniform,Caution deposit,Other"</formula1>
    </dataValidation>
    <dataValidation type="list" errorStyle="warning" allowBlank="1" showErrorMessage="1" errorTitle="Not in the list" error="Pick from the list, or press Yes to keep your own answer." sqref="D16:D45" xr:uid="{00000000-0002-0000-0700-000002000000}">
      <formula1>"One-time,Annual,Per term,Monthly"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15A85"/>
    <pageSetUpPr fitToPage="1"/>
  </sheetPr>
  <dimension ref="A1:F33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2" width="16" customWidth="1"/>
    <col min="3" max="3" width="18" customWidth="1"/>
    <col min="4" max="4" width="14" customWidth="1"/>
    <col min="5" max="5" width="18" customWidth="1"/>
    <col min="6" max="6" width="36" customWidth="1"/>
  </cols>
  <sheetData>
    <row r="1" spans="1:6" ht="34" customHeight="1" x14ac:dyDescent="0.35">
      <c r="A1" s="41" t="s">
        <v>265</v>
      </c>
      <c r="B1" s="42"/>
      <c r="C1" s="42"/>
      <c r="D1" s="42"/>
      <c r="E1" s="42"/>
      <c r="F1" s="42"/>
    </row>
    <row r="2" spans="1:6" ht="30" customHeight="1" x14ac:dyDescent="0.35">
      <c r="A2" s="46" t="s">
        <v>266</v>
      </c>
      <c r="B2" s="42"/>
      <c r="C2" s="42"/>
      <c r="D2" s="42"/>
      <c r="E2" s="42"/>
      <c r="F2" s="42"/>
    </row>
    <row r="3" spans="1:6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6" ht="22" customHeight="1" x14ac:dyDescent="0.35">
      <c r="A5" s="43" t="s">
        <v>267</v>
      </c>
      <c r="B5" s="44"/>
      <c r="C5" s="44"/>
      <c r="D5" s="44"/>
      <c r="E5" s="44"/>
      <c r="F5" s="44"/>
    </row>
    <row r="6" spans="1:6" ht="24" customHeight="1" x14ac:dyDescent="0.35">
      <c r="A6" s="47" t="s">
        <v>268</v>
      </c>
      <c r="B6" s="48"/>
      <c r="C6" s="39"/>
      <c r="D6" s="40"/>
      <c r="E6" s="40"/>
      <c r="F6" s="20" t="s">
        <v>269</v>
      </c>
    </row>
    <row r="7" spans="1:6" ht="24" customHeight="1" x14ac:dyDescent="0.35">
      <c r="A7" s="47" t="s">
        <v>270</v>
      </c>
      <c r="B7" s="48"/>
      <c r="C7" s="39"/>
      <c r="D7" s="40"/>
      <c r="E7" s="40"/>
      <c r="F7" s="20" t="s">
        <v>271</v>
      </c>
    </row>
    <row r="8" spans="1:6" ht="24" customHeight="1" x14ac:dyDescent="0.35">
      <c r="A8" s="47" t="s">
        <v>272</v>
      </c>
      <c r="B8" s="48"/>
      <c r="C8" s="39"/>
      <c r="D8" s="40"/>
      <c r="E8" s="40"/>
      <c r="F8" s="20"/>
    </row>
    <row r="9" spans="1:6" ht="24" customHeight="1" x14ac:dyDescent="0.35">
      <c r="A9" s="47" t="s">
        <v>273</v>
      </c>
      <c r="B9" s="48"/>
      <c r="C9" s="39"/>
      <c r="D9" s="40"/>
      <c r="E9" s="40"/>
      <c r="F9" s="20" t="s">
        <v>274</v>
      </c>
    </row>
    <row r="10" spans="1:6" ht="24" customHeight="1" x14ac:dyDescent="0.35">
      <c r="A10" s="47" t="s">
        <v>275</v>
      </c>
      <c r="B10" s="48"/>
      <c r="C10" s="39"/>
      <c r="D10" s="40"/>
      <c r="E10" s="40"/>
      <c r="F10" s="20" t="s">
        <v>276</v>
      </c>
    </row>
    <row r="11" spans="1:6" ht="24" customHeight="1" x14ac:dyDescent="0.35">
      <c r="A11" s="47" t="s">
        <v>277</v>
      </c>
      <c r="B11" s="48"/>
      <c r="C11" s="39"/>
      <c r="D11" s="40"/>
      <c r="E11" s="40"/>
      <c r="F11" s="20" t="s">
        <v>278</v>
      </c>
    </row>
    <row r="12" spans="1:6" ht="24" customHeight="1" x14ac:dyDescent="0.35">
      <c r="A12" s="47" t="s">
        <v>279</v>
      </c>
      <c r="B12" s="48"/>
      <c r="C12" s="39"/>
      <c r="D12" s="40"/>
      <c r="E12" s="40"/>
      <c r="F12" s="20"/>
    </row>
    <row r="13" spans="1:6" ht="24" customHeight="1" x14ac:dyDescent="0.35">
      <c r="A13" s="49" t="s">
        <v>280</v>
      </c>
      <c r="B13" s="48"/>
      <c r="C13" s="39"/>
      <c r="D13" s="40"/>
      <c r="E13" s="40"/>
      <c r="F13" s="20" t="s">
        <v>281</v>
      </c>
    </row>
    <row r="14" spans="1:6" ht="24" customHeight="1" x14ac:dyDescent="0.35">
      <c r="A14" s="49" t="s">
        <v>282</v>
      </c>
      <c r="B14" s="48"/>
      <c r="C14" s="39"/>
      <c r="D14" s="40"/>
      <c r="E14" s="40"/>
      <c r="F14" s="20"/>
    </row>
    <row r="16" spans="1:6" ht="22" customHeight="1" x14ac:dyDescent="0.35">
      <c r="A16" s="43" t="s">
        <v>283</v>
      </c>
      <c r="B16" s="44"/>
      <c r="C16" s="44"/>
      <c r="D16" s="44"/>
      <c r="E16" s="44"/>
      <c r="F16" s="44"/>
    </row>
    <row r="17" spans="1:6" ht="30" customHeight="1" x14ac:dyDescent="0.35">
      <c r="A17" s="9" t="s">
        <v>284</v>
      </c>
      <c r="B17" s="9" t="s">
        <v>285</v>
      </c>
      <c r="C17" s="9" t="s">
        <v>286</v>
      </c>
      <c r="D17" s="9" t="s">
        <v>287</v>
      </c>
      <c r="E17" s="9" t="s">
        <v>288</v>
      </c>
      <c r="F17" s="9" t="s">
        <v>175</v>
      </c>
    </row>
    <row r="18" spans="1:6" ht="22" customHeight="1" x14ac:dyDescent="0.35">
      <c r="A18" s="23" t="s">
        <v>289</v>
      </c>
      <c r="B18" s="23" t="s">
        <v>213</v>
      </c>
      <c r="C18" s="23" t="s">
        <v>290</v>
      </c>
      <c r="D18" s="23" t="s">
        <v>291</v>
      </c>
      <c r="E18" s="23" t="s">
        <v>213</v>
      </c>
      <c r="F18" s="23" t="s">
        <v>292</v>
      </c>
    </row>
    <row r="19" spans="1:6" ht="21" customHeight="1" x14ac:dyDescent="0.35">
      <c r="A19" s="19"/>
      <c r="B19" s="19"/>
      <c r="C19" s="19"/>
      <c r="D19" s="19"/>
      <c r="E19" s="19"/>
      <c r="F19" s="19"/>
    </row>
    <row r="20" spans="1:6" ht="21" customHeight="1" x14ac:dyDescent="0.35">
      <c r="A20" s="19"/>
      <c r="B20" s="19"/>
      <c r="C20" s="19"/>
      <c r="D20" s="19"/>
      <c r="E20" s="19"/>
      <c r="F20" s="19"/>
    </row>
    <row r="21" spans="1:6" ht="21" customHeight="1" x14ac:dyDescent="0.35">
      <c r="A21" s="19"/>
      <c r="B21" s="19"/>
      <c r="C21" s="19"/>
      <c r="D21" s="19"/>
      <c r="E21" s="19"/>
      <c r="F21" s="19"/>
    </row>
    <row r="22" spans="1:6" ht="21" customHeight="1" x14ac:dyDescent="0.35">
      <c r="A22" s="19"/>
      <c r="B22" s="19"/>
      <c r="C22" s="19"/>
      <c r="D22" s="19"/>
      <c r="E22" s="19"/>
      <c r="F22" s="19"/>
    </row>
    <row r="23" spans="1:6" ht="21" customHeight="1" x14ac:dyDescent="0.35">
      <c r="A23" s="19"/>
      <c r="B23" s="19"/>
      <c r="C23" s="19"/>
      <c r="D23" s="19"/>
      <c r="E23" s="19"/>
      <c r="F23" s="19"/>
    </row>
    <row r="24" spans="1:6" ht="21" customHeight="1" x14ac:dyDescent="0.35">
      <c r="A24" s="19"/>
      <c r="B24" s="19"/>
      <c r="C24" s="19"/>
      <c r="D24" s="19"/>
      <c r="E24" s="19"/>
      <c r="F24" s="19"/>
    </row>
    <row r="25" spans="1:6" ht="21" customHeight="1" x14ac:dyDescent="0.35">
      <c r="A25" s="19"/>
      <c r="B25" s="19"/>
      <c r="C25" s="19"/>
      <c r="D25" s="19"/>
      <c r="E25" s="19"/>
      <c r="F25" s="19"/>
    </row>
    <row r="26" spans="1:6" ht="21" customHeight="1" x14ac:dyDescent="0.35">
      <c r="A26" s="19"/>
      <c r="B26" s="19"/>
      <c r="C26" s="19"/>
      <c r="D26" s="19"/>
      <c r="E26" s="19"/>
      <c r="F26" s="19"/>
    </row>
    <row r="27" spans="1:6" ht="21" customHeight="1" x14ac:dyDescent="0.35">
      <c r="A27" s="19"/>
      <c r="B27" s="19"/>
      <c r="C27" s="19"/>
      <c r="D27" s="19"/>
      <c r="E27" s="19"/>
      <c r="F27" s="19"/>
    </row>
    <row r="28" spans="1:6" ht="21" customHeight="1" x14ac:dyDescent="0.35">
      <c r="A28" s="19"/>
      <c r="B28" s="19"/>
      <c r="C28" s="19"/>
      <c r="D28" s="19"/>
      <c r="E28" s="19"/>
      <c r="F28" s="19"/>
    </row>
    <row r="29" spans="1:6" ht="21" customHeight="1" x14ac:dyDescent="0.35">
      <c r="A29" s="19"/>
      <c r="B29" s="19"/>
      <c r="C29" s="19"/>
      <c r="D29" s="19"/>
      <c r="E29" s="19"/>
      <c r="F29" s="19"/>
    </row>
    <row r="30" spans="1:6" ht="21" customHeight="1" x14ac:dyDescent="0.35">
      <c r="A30" s="19"/>
      <c r="B30" s="19"/>
      <c r="C30" s="19"/>
      <c r="D30" s="19"/>
      <c r="E30" s="19"/>
      <c r="F30" s="19"/>
    </row>
    <row r="31" spans="1:6" ht="21" customHeight="1" x14ac:dyDescent="0.35">
      <c r="A31" s="19"/>
      <c r="B31" s="19"/>
      <c r="C31" s="19"/>
      <c r="D31" s="19"/>
      <c r="E31" s="19"/>
      <c r="F31" s="19"/>
    </row>
    <row r="32" spans="1:6" ht="21" customHeight="1" x14ac:dyDescent="0.35">
      <c r="A32" s="19"/>
      <c r="B32" s="19"/>
      <c r="C32" s="19"/>
      <c r="D32" s="19"/>
      <c r="E32" s="19"/>
      <c r="F32" s="19"/>
    </row>
    <row r="33" spans="1:6" ht="21" customHeight="1" x14ac:dyDescent="0.35">
      <c r="A33" s="19"/>
      <c r="B33" s="19"/>
      <c r="C33" s="19"/>
      <c r="D33" s="19"/>
      <c r="E33" s="19"/>
      <c r="F33" s="19"/>
    </row>
  </sheetData>
  <mergeCells count="23">
    <mergeCell ref="A1:F1"/>
    <mergeCell ref="A10:B10"/>
    <mergeCell ref="A13:B13"/>
    <mergeCell ref="A9:B9"/>
    <mergeCell ref="C10:E10"/>
    <mergeCell ref="A2:F2"/>
    <mergeCell ref="C11:E11"/>
    <mergeCell ref="A7:B7"/>
    <mergeCell ref="A5:F5"/>
    <mergeCell ref="C8:E8"/>
    <mergeCell ref="C7:E7"/>
    <mergeCell ref="A3:B3"/>
    <mergeCell ref="A8:B8"/>
    <mergeCell ref="C6:E6"/>
    <mergeCell ref="A16:F16"/>
    <mergeCell ref="A11:B11"/>
    <mergeCell ref="C9:E9"/>
    <mergeCell ref="C12:E12"/>
    <mergeCell ref="A6:B6"/>
    <mergeCell ref="A12:B12"/>
    <mergeCell ref="C13:E13"/>
    <mergeCell ref="A14:B14"/>
    <mergeCell ref="C14:E14"/>
  </mergeCells>
  <dataValidations count="3">
    <dataValidation type="list" errorStyle="warning" allowBlank="1" showErrorMessage="1" errorTitle="Not in the list" error="Pick from the list, or press Yes to keep your own answer." sqref="C8 E19:E33 B19:B33 C12 C10" xr:uid="{00000000-0002-0000-0800-000000000000}">
      <formula1>"Yes,No"</formula1>
    </dataValidation>
    <dataValidation type="list" errorStyle="warning" allowBlank="1" showErrorMessage="1" errorTitle="Not in the list" error="Pick from the list, or press Yes to keep your own answer." sqref="C14" xr:uid="{00000000-0002-0000-0800-000003000000}">
      <formula1>"Balanced (fill the smallest house),Random,Chosen by school"</formula1>
    </dataValidation>
    <dataValidation type="list" errorStyle="warning" allowBlank="1" showErrorMessage="1" errorTitle="Not in the list" error="Pick from the list, or press Yes to keep your own answer." sqref="C19:C33" xr:uid="{00000000-0002-0000-0800-000005000000}">
      <formula1>"PDF,JPG / PNG,PDF or image"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15A85"/>
    <pageSetUpPr fitToPage="1"/>
  </sheetPr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12" customWidth="1"/>
    <col min="4" max="4" width="14" customWidth="1"/>
    <col min="5" max="5" width="24" customWidth="1"/>
    <col min="6" max="6" width="18" customWidth="1"/>
    <col min="7" max="7" width="32" customWidth="1"/>
  </cols>
  <sheetData>
    <row r="1" spans="1:7" ht="34" customHeight="1" x14ac:dyDescent="0.35">
      <c r="A1" s="41" t="s">
        <v>293</v>
      </c>
      <c r="B1" s="42"/>
      <c r="C1" s="42"/>
      <c r="D1" s="42"/>
      <c r="E1" s="42"/>
      <c r="F1" s="42"/>
      <c r="G1" s="42"/>
    </row>
    <row r="2" spans="1:7" ht="30" customHeight="1" x14ac:dyDescent="0.35">
      <c r="A2" s="46" t="s">
        <v>294</v>
      </c>
      <c r="B2" s="42"/>
      <c r="C2" s="42"/>
      <c r="D2" s="42"/>
      <c r="E2" s="42"/>
      <c r="F2" s="42"/>
      <c r="G2" s="42"/>
    </row>
    <row r="3" spans="1:7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7" ht="22" customHeight="1" x14ac:dyDescent="0.35">
      <c r="A5" s="43" t="s">
        <v>216</v>
      </c>
      <c r="B5" s="44"/>
      <c r="C5" s="44"/>
      <c r="D5" s="44"/>
      <c r="E5" s="44"/>
      <c r="F5" s="44"/>
      <c r="G5" s="44"/>
    </row>
    <row r="6" spans="1:7" ht="24" customHeight="1" x14ac:dyDescent="0.35">
      <c r="A6" s="49" t="s">
        <v>295</v>
      </c>
      <c r="B6" s="48"/>
      <c r="C6" s="39"/>
      <c r="D6" s="40"/>
      <c r="E6" s="40"/>
      <c r="F6" s="40"/>
      <c r="G6" s="20" t="s">
        <v>296</v>
      </c>
    </row>
    <row r="7" spans="1:7" ht="24" customHeight="1" x14ac:dyDescent="0.35">
      <c r="A7" s="49" t="s">
        <v>297</v>
      </c>
      <c r="B7" s="48"/>
      <c r="C7" s="39"/>
      <c r="D7" s="40"/>
      <c r="E7" s="40"/>
      <c r="F7" s="40"/>
      <c r="G7" s="20" t="s">
        <v>298</v>
      </c>
    </row>
    <row r="8" spans="1:7" ht="24" customHeight="1" x14ac:dyDescent="0.35">
      <c r="A8" s="49" t="s">
        <v>299</v>
      </c>
      <c r="B8" s="48"/>
      <c r="C8" s="39"/>
      <c r="D8" s="40"/>
      <c r="E8" s="40"/>
      <c r="F8" s="40"/>
      <c r="G8" s="20" t="s">
        <v>300</v>
      </c>
    </row>
    <row r="10" spans="1:7" ht="22" customHeight="1" x14ac:dyDescent="0.35">
      <c r="A10" s="43" t="s">
        <v>301</v>
      </c>
      <c r="B10" s="44"/>
      <c r="C10" s="44"/>
      <c r="D10" s="44"/>
      <c r="E10" s="44"/>
      <c r="F10" s="44"/>
      <c r="G10" s="44"/>
    </row>
    <row r="11" spans="1:7" ht="30" customHeight="1" x14ac:dyDescent="0.35">
      <c r="A11" s="9" t="s">
        <v>302</v>
      </c>
      <c r="B11" s="9" t="s">
        <v>303</v>
      </c>
      <c r="C11" s="9" t="s">
        <v>304</v>
      </c>
      <c r="D11" s="9" t="s">
        <v>305</v>
      </c>
      <c r="E11" s="9" t="s">
        <v>306</v>
      </c>
      <c r="F11" s="9" t="s">
        <v>307</v>
      </c>
      <c r="G11" s="9" t="s">
        <v>175</v>
      </c>
    </row>
    <row r="12" spans="1:7" ht="22" customHeight="1" x14ac:dyDescent="0.35">
      <c r="A12" s="23" t="s">
        <v>308</v>
      </c>
      <c r="B12" s="23" t="s">
        <v>309</v>
      </c>
      <c r="C12" s="23">
        <v>30</v>
      </c>
      <c r="D12" s="23">
        <v>4</v>
      </c>
      <c r="E12" s="23" t="s">
        <v>310</v>
      </c>
      <c r="F12" s="23" t="s">
        <v>311</v>
      </c>
      <c r="G12" s="23" t="s">
        <v>312</v>
      </c>
    </row>
    <row r="13" spans="1:7" ht="21" customHeight="1" x14ac:dyDescent="0.35">
      <c r="A13" s="19"/>
      <c r="B13" s="19"/>
      <c r="C13" s="19"/>
      <c r="D13" s="19"/>
      <c r="E13" s="19"/>
      <c r="F13" s="19"/>
      <c r="G13" s="19"/>
    </row>
    <row r="14" spans="1:7" ht="21" customHeight="1" x14ac:dyDescent="0.35">
      <c r="A14" s="19"/>
      <c r="B14" s="19"/>
      <c r="C14" s="19"/>
      <c r="D14" s="19"/>
      <c r="E14" s="19"/>
      <c r="F14" s="19"/>
      <c r="G14" s="19"/>
    </row>
    <row r="15" spans="1:7" ht="21" customHeight="1" x14ac:dyDescent="0.35">
      <c r="A15" s="19"/>
      <c r="B15" s="19"/>
      <c r="C15" s="19"/>
      <c r="D15" s="19"/>
      <c r="E15" s="19"/>
      <c r="F15" s="19"/>
      <c r="G15" s="19"/>
    </row>
    <row r="16" spans="1:7" ht="21" customHeight="1" x14ac:dyDescent="0.35">
      <c r="A16" s="19"/>
      <c r="B16" s="19"/>
      <c r="C16" s="19"/>
      <c r="D16" s="19"/>
      <c r="E16" s="19"/>
      <c r="F16" s="19"/>
      <c r="G16" s="19"/>
    </row>
    <row r="17" spans="1:7" ht="21" customHeight="1" x14ac:dyDescent="0.35">
      <c r="A17" s="19"/>
      <c r="B17" s="19"/>
      <c r="C17" s="19"/>
      <c r="D17" s="19"/>
      <c r="E17" s="19"/>
      <c r="F17" s="19"/>
      <c r="G17" s="19"/>
    </row>
    <row r="18" spans="1:7" ht="21" customHeight="1" x14ac:dyDescent="0.35">
      <c r="A18" s="19"/>
      <c r="B18" s="19"/>
      <c r="C18" s="19"/>
      <c r="D18" s="19"/>
      <c r="E18" s="19"/>
      <c r="F18" s="19"/>
      <c r="G18" s="19"/>
    </row>
    <row r="19" spans="1:7" ht="21" customHeight="1" x14ac:dyDescent="0.35">
      <c r="A19" s="19"/>
      <c r="B19" s="19"/>
      <c r="C19" s="19"/>
      <c r="D19" s="19"/>
      <c r="E19" s="19"/>
      <c r="F19" s="19"/>
      <c r="G19" s="19"/>
    </row>
    <row r="20" spans="1:7" ht="21" customHeight="1" x14ac:dyDescent="0.35">
      <c r="A20" s="19"/>
      <c r="B20" s="19"/>
      <c r="C20" s="19"/>
      <c r="D20" s="19"/>
      <c r="E20" s="19"/>
      <c r="F20" s="19"/>
      <c r="G20" s="19"/>
    </row>
    <row r="21" spans="1:7" ht="21" customHeight="1" x14ac:dyDescent="0.35">
      <c r="A21" s="19"/>
      <c r="B21" s="19"/>
      <c r="C21" s="19"/>
      <c r="D21" s="19"/>
      <c r="E21" s="19"/>
      <c r="F21" s="19"/>
      <c r="G21" s="19"/>
    </row>
    <row r="22" spans="1:7" ht="21" customHeight="1" x14ac:dyDescent="0.35">
      <c r="A22" s="19"/>
      <c r="B22" s="19"/>
      <c r="C22" s="19"/>
      <c r="D22" s="19"/>
      <c r="E22" s="19"/>
      <c r="F22" s="19"/>
      <c r="G22" s="19"/>
    </row>
  </sheetData>
  <mergeCells count="11">
    <mergeCell ref="A10:G10"/>
    <mergeCell ref="A5:G5"/>
    <mergeCell ref="A1:G1"/>
    <mergeCell ref="A7:B7"/>
    <mergeCell ref="C8:F8"/>
    <mergeCell ref="C6:F6"/>
    <mergeCell ref="C7:F7"/>
    <mergeCell ref="A2:G2"/>
    <mergeCell ref="A8:B8"/>
    <mergeCell ref="A3:B3"/>
    <mergeCell ref="A6:B6"/>
  </mergeCells>
  <dataValidations count="3">
    <dataValidation type="list" errorStyle="warning" allowBlank="1" showErrorMessage="1" errorTitle="Not in the list" error="Pick from the list, or press Yes to keep your own answer." sqref="C7" xr:uid="{00000000-0002-0000-0900-000000000000}">
      <formula1>"Warden only,Warden → Principal,Principal only"</formula1>
    </dataValidation>
    <dataValidation type="list" errorStyle="warning" allowBlank="1" showErrorMessage="1" errorTitle="Not in the list" error="Pick from the list, or press Yes to keep your own answer." sqref="C8" xr:uid="{00000000-0002-0000-0900-000001000000}">
      <formula1>"Yes,No"</formula1>
    </dataValidation>
    <dataValidation type="list" errorStyle="warning" allowBlank="1" showErrorMessage="1" errorTitle="Not in the list" error="Pick from the list, or press Yes to keep your own answer." sqref="B13:B22" xr:uid="{00000000-0002-0000-0900-000002000000}">
      <formula1>"Boys,Girls,Mixed"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15A85"/>
    <pageSetUpPr fitToPage="1"/>
  </sheetPr>
  <dimension ref="A1:G26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6" customWidth="1"/>
    <col min="2" max="2" width="14" customWidth="1"/>
    <col min="3" max="3" width="16" customWidth="1"/>
    <col min="4" max="4" width="14" customWidth="1"/>
    <col min="5" max="5" width="16" customWidth="1"/>
    <col min="6" max="6" width="22" customWidth="1"/>
    <col min="7" max="7" width="30" customWidth="1"/>
  </cols>
  <sheetData>
    <row r="1" spans="1:7" ht="34" customHeight="1" x14ac:dyDescent="0.35">
      <c r="A1" s="41" t="s">
        <v>313</v>
      </c>
      <c r="B1" s="42"/>
      <c r="C1" s="42"/>
      <c r="D1" s="42"/>
      <c r="E1" s="42"/>
      <c r="F1" s="42"/>
      <c r="G1" s="42"/>
    </row>
    <row r="2" spans="1:7" ht="30" customHeight="1" x14ac:dyDescent="0.35">
      <c r="A2" s="46" t="s">
        <v>314</v>
      </c>
      <c r="B2" s="42"/>
      <c r="C2" s="42"/>
      <c r="D2" s="42"/>
      <c r="E2" s="42"/>
      <c r="F2" s="42"/>
      <c r="G2" s="42"/>
    </row>
    <row r="3" spans="1:7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7" ht="22" customHeight="1" x14ac:dyDescent="0.35">
      <c r="A5" s="43" t="s">
        <v>315</v>
      </c>
      <c r="B5" s="44"/>
      <c r="C5" s="44"/>
      <c r="D5" s="44"/>
      <c r="E5" s="44"/>
      <c r="F5" s="44"/>
      <c r="G5" s="44"/>
    </row>
    <row r="6" spans="1:7" ht="24" customHeight="1" x14ac:dyDescent="0.35">
      <c r="A6" s="47" t="s">
        <v>316</v>
      </c>
      <c r="B6" s="48"/>
      <c r="C6" s="39"/>
      <c r="D6" s="40"/>
      <c r="E6" s="40"/>
      <c r="F6" s="40"/>
      <c r="G6" s="20"/>
    </row>
    <row r="7" spans="1:7" ht="24" customHeight="1" x14ac:dyDescent="0.35">
      <c r="A7" s="47" t="s">
        <v>317</v>
      </c>
      <c r="B7" s="48"/>
      <c r="C7" s="39"/>
      <c r="D7" s="40"/>
      <c r="E7" s="40"/>
      <c r="F7" s="40"/>
      <c r="G7" s="20" t="s">
        <v>318</v>
      </c>
    </row>
    <row r="8" spans="1:7" ht="24" customHeight="1" x14ac:dyDescent="0.35">
      <c r="A8" s="47" t="s">
        <v>319</v>
      </c>
      <c r="B8" s="48"/>
      <c r="C8" s="39"/>
      <c r="D8" s="40"/>
      <c r="E8" s="40"/>
      <c r="F8" s="40"/>
      <c r="G8" s="20"/>
    </row>
    <row r="9" spans="1:7" ht="24" customHeight="1" x14ac:dyDescent="0.35">
      <c r="A9" s="49" t="s">
        <v>320</v>
      </c>
      <c r="B9" s="48"/>
      <c r="C9" s="39"/>
      <c r="D9" s="40"/>
      <c r="E9" s="40"/>
      <c r="F9" s="40"/>
      <c r="G9" s="20" t="s">
        <v>321</v>
      </c>
    </row>
    <row r="10" spans="1:7" ht="24" customHeight="1" x14ac:dyDescent="0.35">
      <c r="A10" s="49" t="s">
        <v>322</v>
      </c>
      <c r="B10" s="48"/>
      <c r="C10" s="39"/>
      <c r="D10" s="40"/>
      <c r="E10" s="40"/>
      <c r="F10" s="40"/>
      <c r="G10" s="20" t="s">
        <v>323</v>
      </c>
    </row>
    <row r="12" spans="1:7" ht="22" customHeight="1" x14ac:dyDescent="0.35">
      <c r="A12" s="43" t="s">
        <v>324</v>
      </c>
      <c r="B12" s="44"/>
      <c r="C12" s="44"/>
      <c r="D12" s="44"/>
      <c r="E12" s="44"/>
      <c r="F12" s="44"/>
      <c r="G12" s="44"/>
    </row>
    <row r="13" spans="1:7" ht="30" customHeight="1" x14ac:dyDescent="0.35">
      <c r="A13" s="9" t="s">
        <v>325</v>
      </c>
      <c r="B13" s="9" t="s">
        <v>303</v>
      </c>
      <c r="C13" s="9" t="s">
        <v>326</v>
      </c>
      <c r="D13" s="9" t="s">
        <v>327</v>
      </c>
      <c r="E13" s="9" t="s">
        <v>328</v>
      </c>
      <c r="F13" s="9" t="s">
        <v>329</v>
      </c>
      <c r="G13" s="9" t="s">
        <v>175</v>
      </c>
    </row>
    <row r="14" spans="1:7" ht="22" customHeight="1" x14ac:dyDescent="0.35">
      <c r="A14" s="23" t="s">
        <v>330</v>
      </c>
      <c r="B14" s="23" t="s">
        <v>33</v>
      </c>
      <c r="C14" s="23">
        <v>12</v>
      </c>
      <c r="D14" s="23" t="s">
        <v>331</v>
      </c>
      <c r="E14" s="23" t="s">
        <v>332</v>
      </c>
      <c r="F14" s="23" t="s">
        <v>333</v>
      </c>
      <c r="G14" s="23" t="s">
        <v>334</v>
      </c>
    </row>
    <row r="15" spans="1:7" ht="21" customHeight="1" x14ac:dyDescent="0.35">
      <c r="A15" s="19"/>
      <c r="B15" s="19"/>
      <c r="C15" s="19"/>
      <c r="D15" s="19"/>
      <c r="E15" s="19"/>
      <c r="F15" s="19"/>
      <c r="G15" s="19"/>
    </row>
    <row r="16" spans="1:7" ht="21" customHeight="1" x14ac:dyDescent="0.35">
      <c r="A16" s="19"/>
      <c r="B16" s="19"/>
      <c r="C16" s="19"/>
      <c r="D16" s="19"/>
      <c r="E16" s="19"/>
      <c r="F16" s="19"/>
      <c r="G16" s="19"/>
    </row>
    <row r="17" spans="1:7" ht="21" customHeight="1" x14ac:dyDescent="0.35">
      <c r="A17" s="19"/>
      <c r="B17" s="19"/>
      <c r="C17" s="19"/>
      <c r="D17" s="19"/>
      <c r="E17" s="19"/>
      <c r="F17" s="19"/>
      <c r="G17" s="19"/>
    </row>
    <row r="18" spans="1:7" ht="21" customHeight="1" x14ac:dyDescent="0.35">
      <c r="A18" s="19"/>
      <c r="B18" s="19"/>
      <c r="C18" s="19"/>
      <c r="D18" s="19"/>
      <c r="E18" s="19"/>
      <c r="F18" s="19"/>
      <c r="G18" s="19"/>
    </row>
    <row r="19" spans="1:7" ht="21" customHeight="1" x14ac:dyDescent="0.35">
      <c r="A19" s="19"/>
      <c r="B19" s="19"/>
      <c r="C19" s="19"/>
      <c r="D19" s="19"/>
      <c r="E19" s="19"/>
      <c r="F19" s="19"/>
      <c r="G19" s="19"/>
    </row>
    <row r="20" spans="1:7" ht="21" customHeight="1" x14ac:dyDescent="0.35">
      <c r="A20" s="19"/>
      <c r="B20" s="19"/>
      <c r="C20" s="19"/>
      <c r="D20" s="19"/>
      <c r="E20" s="19"/>
      <c r="F20" s="19"/>
      <c r="G20" s="19"/>
    </row>
    <row r="21" spans="1:7" ht="21" customHeight="1" x14ac:dyDescent="0.35">
      <c r="A21" s="19"/>
      <c r="B21" s="19"/>
      <c r="C21" s="19"/>
      <c r="D21" s="19"/>
      <c r="E21" s="19"/>
      <c r="F21" s="19"/>
      <c r="G21" s="19"/>
    </row>
    <row r="22" spans="1:7" ht="21" customHeight="1" x14ac:dyDescent="0.35">
      <c r="A22" s="19"/>
      <c r="B22" s="19"/>
      <c r="C22" s="19"/>
      <c r="D22" s="19"/>
      <c r="E22" s="19"/>
      <c r="F22" s="19"/>
      <c r="G22" s="19"/>
    </row>
    <row r="23" spans="1:7" ht="21" customHeight="1" x14ac:dyDescent="0.35">
      <c r="A23" s="19"/>
      <c r="B23" s="19"/>
      <c r="C23" s="19"/>
      <c r="D23" s="19"/>
      <c r="E23" s="19"/>
      <c r="F23" s="19"/>
      <c r="G23" s="19"/>
    </row>
    <row r="24" spans="1:7" ht="21" customHeight="1" x14ac:dyDescent="0.35">
      <c r="A24" s="19"/>
      <c r="B24" s="19"/>
      <c r="C24" s="19"/>
      <c r="D24" s="19"/>
      <c r="E24" s="19"/>
      <c r="F24" s="19"/>
      <c r="G24" s="19"/>
    </row>
    <row r="25" spans="1:7" ht="21" customHeight="1" x14ac:dyDescent="0.35">
      <c r="A25" s="19"/>
      <c r="B25" s="19"/>
      <c r="C25" s="19"/>
      <c r="D25" s="19"/>
      <c r="E25" s="19"/>
      <c r="F25" s="19"/>
      <c r="G25" s="19"/>
    </row>
    <row r="26" spans="1:7" ht="21" customHeight="1" x14ac:dyDescent="0.35">
      <c r="A26" s="19"/>
      <c r="B26" s="19"/>
      <c r="C26" s="19"/>
      <c r="D26" s="19"/>
      <c r="E26" s="19"/>
      <c r="F26" s="19"/>
      <c r="G26" s="19"/>
    </row>
  </sheetData>
  <mergeCells count="15">
    <mergeCell ref="A12:G12"/>
    <mergeCell ref="C6:F6"/>
    <mergeCell ref="C7:F7"/>
    <mergeCell ref="A2:G2"/>
    <mergeCell ref="A9:B9"/>
    <mergeCell ref="A8:B8"/>
    <mergeCell ref="A3:B3"/>
    <mergeCell ref="A6:B6"/>
    <mergeCell ref="A5:G5"/>
    <mergeCell ref="C10:F10"/>
    <mergeCell ref="C9:F9"/>
    <mergeCell ref="A1:G1"/>
    <mergeCell ref="A7:B7"/>
    <mergeCell ref="C8:F8"/>
    <mergeCell ref="A10:B10"/>
  </mergeCells>
  <dataValidations count="4">
    <dataValidation type="list" errorStyle="warning" allowBlank="1" showErrorMessage="1" errorTitle="Not in the list" error="Pick from the list, or press Yes to keep your own answer." sqref="C6" xr:uid="{00000000-0002-0000-0A00-000000000000}">
      <formula1>"Once a day,Every period,Biometric device,Morning + afternoon"</formula1>
    </dataValidation>
    <dataValidation type="list" errorStyle="warning" allowBlank="1" showErrorMessage="1" errorTitle="Not in the list" error="Pick from the list, or press Yes to keep your own answer." sqref="C8 E15:E26" xr:uid="{00000000-0002-0000-0A00-000001000000}">
      <formula1>"Yes,No"</formula1>
    </dataValidation>
    <dataValidation type="list" errorStyle="warning" allowBlank="1" showErrorMessage="1" errorTitle="Not in the list" error="Pick from the list, or press Yes to keep your own answer." sqref="B15:B26" xr:uid="{00000000-0002-0000-0A00-000002000000}">
      <formula1>"Staff,Students,Both"</formula1>
    </dataValidation>
    <dataValidation type="list" errorStyle="warning" allowBlank="1" showErrorMessage="1" errorTitle="Not in the list" error="Pick from the list, or press Yes to keep your own answer." sqref="D15:D26" xr:uid="{00000000-0002-0000-0A00-000003000000}">
      <formula1>"Paid,Unpaid"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15A85"/>
    <pageSetUpPr fitToPage="1"/>
  </sheetPr>
  <dimension ref="A1:G2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8" customWidth="1"/>
    <col min="2" max="2" width="18" customWidth="1"/>
    <col min="3" max="3" width="16" customWidth="1"/>
    <col min="4" max="4" width="12" customWidth="1"/>
    <col min="5" max="5" width="14" customWidth="1"/>
    <col min="6" max="6" width="16" customWidth="1"/>
    <col min="7" max="7" width="30" customWidth="1"/>
  </cols>
  <sheetData>
    <row r="1" spans="1:7" ht="34" customHeight="1" x14ac:dyDescent="0.35">
      <c r="A1" s="41" t="s">
        <v>335</v>
      </c>
      <c r="B1" s="42"/>
      <c r="C1" s="42"/>
      <c r="D1" s="42"/>
      <c r="E1" s="42"/>
      <c r="F1" s="42"/>
      <c r="G1" s="42"/>
    </row>
    <row r="2" spans="1:7" ht="30" customHeight="1" x14ac:dyDescent="0.35">
      <c r="A2" s="46" t="s">
        <v>336</v>
      </c>
      <c r="B2" s="42"/>
      <c r="C2" s="42"/>
      <c r="D2" s="42"/>
      <c r="E2" s="42"/>
      <c r="F2" s="42"/>
      <c r="G2" s="42"/>
    </row>
    <row r="3" spans="1:7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7" ht="22" customHeight="1" x14ac:dyDescent="0.35">
      <c r="A5" s="43" t="s">
        <v>216</v>
      </c>
      <c r="B5" s="44"/>
      <c r="C5" s="44"/>
      <c r="D5" s="44"/>
      <c r="E5" s="44"/>
      <c r="F5" s="44"/>
      <c r="G5" s="44"/>
    </row>
    <row r="6" spans="1:7" ht="24" customHeight="1" x14ac:dyDescent="0.35">
      <c r="A6" s="47" t="s">
        <v>337</v>
      </c>
      <c r="B6" s="48"/>
      <c r="C6" s="39"/>
      <c r="D6" s="40"/>
      <c r="E6" s="40"/>
      <c r="F6" s="40"/>
      <c r="G6" s="20"/>
    </row>
    <row r="7" spans="1:7" ht="24" customHeight="1" x14ac:dyDescent="0.35">
      <c r="A7" s="47" t="s">
        <v>338</v>
      </c>
      <c r="B7" s="48"/>
      <c r="C7" s="39"/>
      <c r="D7" s="40"/>
      <c r="E7" s="40"/>
      <c r="F7" s="40"/>
      <c r="G7" s="20" t="s">
        <v>339</v>
      </c>
    </row>
    <row r="8" spans="1:7" ht="24" customHeight="1" x14ac:dyDescent="0.35">
      <c r="A8" s="49" t="s">
        <v>340</v>
      </c>
      <c r="B8" s="48"/>
      <c r="C8" s="39"/>
      <c r="D8" s="40"/>
      <c r="E8" s="40"/>
      <c r="F8" s="40"/>
      <c r="G8" s="20" t="s">
        <v>341</v>
      </c>
    </row>
    <row r="10" spans="1:7" ht="22" customHeight="1" x14ac:dyDescent="0.35">
      <c r="A10" s="43" t="s">
        <v>342</v>
      </c>
      <c r="B10" s="44"/>
      <c r="C10" s="44"/>
      <c r="D10" s="44"/>
      <c r="E10" s="44"/>
      <c r="F10" s="44"/>
      <c r="G10" s="44"/>
    </row>
    <row r="11" spans="1:7" ht="30" customHeight="1" x14ac:dyDescent="0.35">
      <c r="A11" s="9" t="s">
        <v>343</v>
      </c>
      <c r="B11" s="9" t="s">
        <v>253</v>
      </c>
      <c r="C11" s="9" t="s">
        <v>344</v>
      </c>
      <c r="D11" s="9" t="s">
        <v>345</v>
      </c>
      <c r="E11" s="9" t="s">
        <v>346</v>
      </c>
      <c r="F11" s="9" t="s">
        <v>188</v>
      </c>
      <c r="G11" s="9" t="s">
        <v>175</v>
      </c>
    </row>
    <row r="12" spans="1:7" ht="22" customHeight="1" x14ac:dyDescent="0.35">
      <c r="A12" s="23" t="s">
        <v>347</v>
      </c>
      <c r="B12" s="23" t="s">
        <v>193</v>
      </c>
      <c r="C12" s="23" t="s">
        <v>348</v>
      </c>
      <c r="D12" s="23">
        <v>80</v>
      </c>
      <c r="E12" s="23">
        <v>30</v>
      </c>
      <c r="F12" s="23" t="s">
        <v>349</v>
      </c>
      <c r="G12" s="23" t="s">
        <v>350</v>
      </c>
    </row>
    <row r="13" spans="1:7" ht="21" customHeight="1" x14ac:dyDescent="0.35">
      <c r="A13" s="19"/>
      <c r="B13" s="19"/>
      <c r="C13" s="19"/>
      <c r="D13" s="19"/>
      <c r="E13" s="19"/>
      <c r="F13" s="19"/>
      <c r="G13" s="19"/>
    </row>
    <row r="14" spans="1:7" ht="21" customHeight="1" x14ac:dyDescent="0.35">
      <c r="A14" s="19"/>
      <c r="B14" s="19"/>
      <c r="C14" s="19"/>
      <c r="D14" s="19"/>
      <c r="E14" s="19"/>
      <c r="F14" s="19"/>
      <c r="G14" s="19"/>
    </row>
    <row r="15" spans="1:7" ht="21" customHeight="1" x14ac:dyDescent="0.35">
      <c r="A15" s="19"/>
      <c r="B15" s="19"/>
      <c r="C15" s="19"/>
      <c r="D15" s="19"/>
      <c r="E15" s="19"/>
      <c r="F15" s="19"/>
      <c r="G15" s="19"/>
    </row>
    <row r="16" spans="1:7" ht="21" customHeight="1" x14ac:dyDescent="0.35">
      <c r="A16" s="19"/>
      <c r="B16" s="19"/>
      <c r="C16" s="19"/>
      <c r="D16" s="19"/>
      <c r="E16" s="19"/>
      <c r="F16" s="19"/>
      <c r="G16" s="19"/>
    </row>
    <row r="17" spans="1:7" ht="21" customHeight="1" x14ac:dyDescent="0.35">
      <c r="A17" s="19"/>
      <c r="B17" s="19"/>
      <c r="C17" s="19"/>
      <c r="D17" s="19"/>
      <c r="E17" s="19"/>
      <c r="F17" s="19"/>
      <c r="G17" s="19"/>
    </row>
    <row r="18" spans="1:7" ht="21" customHeight="1" x14ac:dyDescent="0.35">
      <c r="A18" s="19"/>
      <c r="B18" s="19"/>
      <c r="C18" s="19"/>
      <c r="D18" s="19"/>
      <c r="E18" s="19"/>
      <c r="F18" s="19"/>
      <c r="G18" s="19"/>
    </row>
    <row r="19" spans="1:7" ht="21" customHeight="1" x14ac:dyDescent="0.35">
      <c r="A19" s="19"/>
      <c r="B19" s="19"/>
      <c r="C19" s="19"/>
      <c r="D19" s="19"/>
      <c r="E19" s="19"/>
      <c r="F19" s="19"/>
      <c r="G19" s="19"/>
    </row>
    <row r="20" spans="1:7" ht="21" customHeight="1" x14ac:dyDescent="0.35">
      <c r="A20" s="19"/>
      <c r="B20" s="19"/>
      <c r="C20" s="19"/>
      <c r="D20" s="19"/>
      <c r="E20" s="19"/>
      <c r="F20" s="19"/>
      <c r="G20" s="19"/>
    </row>
    <row r="21" spans="1:7" ht="21" customHeight="1" x14ac:dyDescent="0.35">
      <c r="A21" s="19"/>
      <c r="B21" s="19"/>
      <c r="C21" s="19"/>
      <c r="D21" s="19"/>
      <c r="E21" s="19"/>
      <c r="F21" s="19"/>
      <c r="G21" s="19"/>
    </row>
    <row r="22" spans="1:7" ht="21" customHeight="1" x14ac:dyDescent="0.35">
      <c r="A22" s="19"/>
      <c r="B22" s="19"/>
      <c r="C22" s="19"/>
      <c r="D22" s="19"/>
      <c r="E22" s="19"/>
      <c r="F22" s="19"/>
      <c r="G22" s="19"/>
    </row>
    <row r="23" spans="1:7" ht="21" customHeight="1" x14ac:dyDescent="0.35">
      <c r="A23" s="19"/>
      <c r="B23" s="19"/>
      <c r="C23" s="19"/>
      <c r="D23" s="19"/>
      <c r="E23" s="19"/>
      <c r="F23" s="19"/>
      <c r="G23" s="19"/>
    </row>
    <row r="24" spans="1:7" ht="21" customHeight="1" x14ac:dyDescent="0.35">
      <c r="A24" s="19"/>
      <c r="B24" s="19"/>
      <c r="C24" s="19"/>
      <c r="D24" s="19"/>
      <c r="E24" s="19"/>
      <c r="F24" s="19"/>
      <c r="G24" s="19"/>
    </row>
  </sheetData>
  <mergeCells count="11">
    <mergeCell ref="A10:G10"/>
    <mergeCell ref="A5:G5"/>
    <mergeCell ref="A1:G1"/>
    <mergeCell ref="A7:B7"/>
    <mergeCell ref="C8:F8"/>
    <mergeCell ref="C6:F6"/>
    <mergeCell ref="C7:F7"/>
    <mergeCell ref="A2:G2"/>
    <mergeCell ref="A8:B8"/>
    <mergeCell ref="A3:B3"/>
    <mergeCell ref="A6:B6"/>
  </mergeCells>
  <dataValidations count="3">
    <dataValidation type="list" errorStyle="warning" allowBlank="1" showErrorMessage="1" errorTitle="Not in the list" error="Pick from the list, or press Yes to keep your own answer." sqref="C6" xr:uid="{00000000-0002-0000-0B00-000000000000}">
      <formula1>"Marks,Grades,Marks + Grades"</formula1>
    </dataValidation>
    <dataValidation type="list" errorStyle="warning" allowBlank="1" showErrorMessage="1" errorTitle="Not in the list" error="Pick from the list, or press Yes to keep your own answer." sqref="C8" xr:uid="{00000000-0002-0000-0B00-000001000000}">
      <formula1>"Yes,No"</formula1>
    </dataValidation>
    <dataValidation type="list" errorStyle="warning" allowBlank="1" showErrorMessage="1" errorTitle="Not in the list" error="Pick from the list, or press Yes to keep your own answer." sqref="F13:F24" xr:uid="{00000000-0002-0000-0B00-000002000000}">
      <formula1>"Written,Practical,Online (CBT),Mixed"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315A85"/>
    <pageSetUpPr fitToPage="1"/>
  </sheetPr>
  <dimension ref="A1:E20"/>
  <sheetViews>
    <sheetView showGridLines="0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12" customWidth="1"/>
    <col min="2" max="3" width="14" customWidth="1"/>
    <col min="4" max="4" width="16" customWidth="1"/>
    <col min="5" max="5" width="34" customWidth="1"/>
  </cols>
  <sheetData>
    <row r="1" spans="1:5" ht="34" customHeight="1" x14ac:dyDescent="0.35">
      <c r="A1" s="41" t="s">
        <v>351</v>
      </c>
      <c r="B1" s="42"/>
      <c r="C1" s="42"/>
      <c r="D1" s="42"/>
      <c r="E1" s="42"/>
    </row>
    <row r="2" spans="1:5" ht="30" customHeight="1" x14ac:dyDescent="0.35">
      <c r="A2" s="46" t="s">
        <v>352</v>
      </c>
      <c r="B2" s="42"/>
      <c r="C2" s="42"/>
      <c r="D2" s="42"/>
      <c r="E2" s="42"/>
    </row>
    <row r="3" spans="1:5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5" ht="22" customHeight="1" x14ac:dyDescent="0.35">
      <c r="A5" s="43" t="s">
        <v>353</v>
      </c>
      <c r="B5" s="44"/>
      <c r="C5" s="44"/>
      <c r="D5" s="44"/>
      <c r="E5" s="44"/>
    </row>
    <row r="6" spans="1:5" ht="18" customHeight="1" x14ac:dyDescent="0.35">
      <c r="A6" s="38" t="s">
        <v>354</v>
      </c>
      <c r="B6" s="28"/>
      <c r="C6" s="28"/>
      <c r="D6" s="28"/>
      <c r="E6" s="28"/>
    </row>
    <row r="7" spans="1:5" ht="30" customHeight="1" x14ac:dyDescent="0.35">
      <c r="A7" s="9" t="s">
        <v>355</v>
      </c>
      <c r="B7" s="9" t="s">
        <v>356</v>
      </c>
      <c r="C7" s="9" t="s">
        <v>357</v>
      </c>
      <c r="D7" s="9" t="s">
        <v>358</v>
      </c>
      <c r="E7" s="9" t="s">
        <v>359</v>
      </c>
    </row>
    <row r="8" spans="1:5" ht="22" customHeight="1" x14ac:dyDescent="0.35">
      <c r="A8" s="23" t="s">
        <v>360</v>
      </c>
      <c r="B8" s="23">
        <v>91</v>
      </c>
      <c r="C8" s="23">
        <v>100</v>
      </c>
      <c r="D8" s="23">
        <v>10</v>
      </c>
      <c r="E8" s="23" t="s">
        <v>361</v>
      </c>
    </row>
    <row r="9" spans="1:5" ht="21" customHeight="1" x14ac:dyDescent="0.35">
      <c r="A9" s="19"/>
      <c r="B9" s="19"/>
      <c r="C9" s="19"/>
      <c r="D9" s="19"/>
      <c r="E9" s="19"/>
    </row>
    <row r="10" spans="1:5" ht="21" customHeight="1" x14ac:dyDescent="0.35">
      <c r="A10" s="19"/>
      <c r="B10" s="19"/>
      <c r="C10" s="19"/>
      <c r="D10" s="19"/>
      <c r="E10" s="19"/>
    </row>
    <row r="11" spans="1:5" ht="21" customHeight="1" x14ac:dyDescent="0.35">
      <c r="A11" s="19"/>
      <c r="B11" s="19"/>
      <c r="C11" s="19"/>
      <c r="D11" s="19"/>
      <c r="E11" s="19"/>
    </row>
    <row r="12" spans="1:5" ht="21" customHeight="1" x14ac:dyDescent="0.35">
      <c r="A12" s="19"/>
      <c r="B12" s="19"/>
      <c r="C12" s="19"/>
      <c r="D12" s="19"/>
      <c r="E12" s="19"/>
    </row>
    <row r="13" spans="1:5" ht="21" customHeight="1" x14ac:dyDescent="0.35">
      <c r="A13" s="19"/>
      <c r="B13" s="19"/>
      <c r="C13" s="19"/>
      <c r="D13" s="19"/>
      <c r="E13" s="19"/>
    </row>
    <row r="14" spans="1:5" ht="21" customHeight="1" x14ac:dyDescent="0.35">
      <c r="A14" s="19"/>
      <c r="B14" s="19"/>
      <c r="C14" s="19"/>
      <c r="D14" s="19"/>
      <c r="E14" s="19"/>
    </row>
    <row r="15" spans="1:5" ht="21" customHeight="1" x14ac:dyDescent="0.35">
      <c r="A15" s="19"/>
      <c r="B15" s="19"/>
      <c r="C15" s="19"/>
      <c r="D15" s="19"/>
      <c r="E15" s="19"/>
    </row>
    <row r="16" spans="1:5" ht="21" customHeight="1" x14ac:dyDescent="0.35">
      <c r="A16" s="19"/>
      <c r="B16" s="19"/>
      <c r="C16" s="19"/>
      <c r="D16" s="19"/>
      <c r="E16" s="19"/>
    </row>
    <row r="17" spans="1:5" ht="21" customHeight="1" x14ac:dyDescent="0.35">
      <c r="A17" s="19"/>
      <c r="B17" s="19"/>
      <c r="C17" s="19"/>
      <c r="D17" s="19"/>
      <c r="E17" s="19"/>
    </row>
    <row r="18" spans="1:5" ht="21" customHeight="1" x14ac:dyDescent="0.35">
      <c r="A18" s="19"/>
      <c r="B18" s="19"/>
      <c r="C18" s="19"/>
      <c r="D18" s="19"/>
      <c r="E18" s="19"/>
    </row>
    <row r="19" spans="1:5" ht="21" customHeight="1" x14ac:dyDescent="0.35">
      <c r="A19" s="19"/>
      <c r="B19" s="19"/>
      <c r="C19" s="19"/>
      <c r="D19" s="19"/>
      <c r="E19" s="19"/>
    </row>
    <row r="20" spans="1:5" ht="21" customHeight="1" x14ac:dyDescent="0.35">
      <c r="A20" s="19"/>
      <c r="B20" s="19"/>
      <c r="C20" s="19"/>
      <c r="D20" s="19"/>
      <c r="E20" s="19"/>
    </row>
  </sheetData>
  <mergeCells count="5">
    <mergeCell ref="A2:E2"/>
    <mergeCell ref="A1:E1"/>
    <mergeCell ref="A5:E5"/>
    <mergeCell ref="A6:E6"/>
    <mergeCell ref="A3:B3"/>
  </mergeCell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15A85"/>
    <pageSetUpPr fitToPage="1"/>
  </sheetPr>
  <dimension ref="A1:F2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34" customWidth="1"/>
    <col min="3" max="4" width="18" customWidth="1"/>
    <col min="5" max="5" width="14" customWidth="1"/>
    <col min="6" max="6" width="34" customWidth="1"/>
  </cols>
  <sheetData>
    <row r="1" spans="1:6" ht="34" customHeight="1" x14ac:dyDescent="0.35">
      <c r="A1" s="41" t="s">
        <v>362</v>
      </c>
      <c r="B1" s="42"/>
      <c r="C1" s="42"/>
      <c r="D1" s="42"/>
      <c r="E1" s="42"/>
      <c r="F1" s="42"/>
    </row>
    <row r="2" spans="1:6" ht="30" customHeight="1" x14ac:dyDescent="0.35">
      <c r="A2" s="46" t="s">
        <v>363</v>
      </c>
      <c r="B2" s="42"/>
      <c r="C2" s="42"/>
      <c r="D2" s="42"/>
      <c r="E2" s="42"/>
      <c r="F2" s="42"/>
    </row>
    <row r="3" spans="1:6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6" ht="22" customHeight="1" x14ac:dyDescent="0.35">
      <c r="A5" s="43" t="s">
        <v>364</v>
      </c>
      <c r="B5" s="44"/>
      <c r="C5" s="44"/>
      <c r="D5" s="44"/>
      <c r="E5" s="44"/>
      <c r="F5" s="44"/>
    </row>
    <row r="6" spans="1:6" ht="24" customHeight="1" x14ac:dyDescent="0.35">
      <c r="A6" s="17">
        <v>1</v>
      </c>
      <c r="B6" s="21" t="s">
        <v>365</v>
      </c>
      <c r="C6" s="39"/>
      <c r="D6" s="40"/>
      <c r="E6" s="40"/>
      <c r="F6" s="20" t="s">
        <v>366</v>
      </c>
    </row>
    <row r="7" spans="1:6" ht="24" customHeight="1" x14ac:dyDescent="0.35">
      <c r="A7" s="17">
        <v>2</v>
      </c>
      <c r="B7" s="21" t="s">
        <v>367</v>
      </c>
      <c r="C7" s="39"/>
      <c r="D7" s="40"/>
      <c r="E7" s="40"/>
      <c r="F7" s="20" t="s">
        <v>368</v>
      </c>
    </row>
    <row r="8" spans="1:6" ht="24" customHeight="1" x14ac:dyDescent="0.35">
      <c r="A8" s="17">
        <v>3</v>
      </c>
      <c r="B8" s="21" t="s">
        <v>369</v>
      </c>
      <c r="C8" s="39"/>
      <c r="D8" s="40"/>
      <c r="E8" s="40"/>
      <c r="F8" s="20" t="s">
        <v>370</v>
      </c>
    </row>
    <row r="9" spans="1:6" ht="24" customHeight="1" x14ac:dyDescent="0.35">
      <c r="A9" s="17">
        <v>4</v>
      </c>
      <c r="B9" s="21" t="s">
        <v>371</v>
      </c>
      <c r="C9" s="39"/>
      <c r="D9" s="40"/>
      <c r="E9" s="40"/>
      <c r="F9" s="20" t="s">
        <v>372</v>
      </c>
    </row>
    <row r="11" spans="1:6" ht="22" customHeight="1" x14ac:dyDescent="0.35">
      <c r="A11" s="43" t="s">
        <v>373</v>
      </c>
      <c r="B11" s="44"/>
      <c r="C11" s="44"/>
      <c r="D11" s="44"/>
      <c r="E11" s="44"/>
      <c r="F11" s="44"/>
    </row>
    <row r="12" spans="1:6" ht="18" customHeight="1" x14ac:dyDescent="0.35">
      <c r="A12" s="38" t="s">
        <v>374</v>
      </c>
      <c r="B12" s="28"/>
      <c r="C12" s="28"/>
      <c r="D12" s="28"/>
      <c r="E12" s="28"/>
      <c r="F12" s="28"/>
    </row>
    <row r="13" spans="1:6" ht="30" customHeight="1" x14ac:dyDescent="0.35">
      <c r="A13" s="9" t="s">
        <v>19</v>
      </c>
      <c r="B13" s="9" t="s">
        <v>375</v>
      </c>
      <c r="C13" s="9" t="s">
        <v>376</v>
      </c>
      <c r="D13" s="9" t="s">
        <v>377</v>
      </c>
      <c r="E13" s="9" t="s">
        <v>378</v>
      </c>
      <c r="F13" s="9" t="s">
        <v>175</v>
      </c>
    </row>
    <row r="14" spans="1:6" ht="40" customHeight="1" x14ac:dyDescent="0.35">
      <c r="A14" s="10">
        <v>1</v>
      </c>
      <c r="B14" s="11" t="s">
        <v>379</v>
      </c>
      <c r="C14" s="19"/>
      <c r="D14" s="19"/>
      <c r="E14" s="19"/>
      <c r="F14" s="19"/>
    </row>
    <row r="15" spans="1:6" ht="40" customHeight="1" x14ac:dyDescent="0.35">
      <c r="A15" s="10">
        <v>2</v>
      </c>
      <c r="B15" s="11" t="s">
        <v>380</v>
      </c>
      <c r="C15" s="19"/>
      <c r="D15" s="19"/>
      <c r="E15" s="19"/>
      <c r="F15" s="19"/>
    </row>
    <row r="16" spans="1:6" ht="40" customHeight="1" x14ac:dyDescent="0.35">
      <c r="A16" s="10">
        <v>3</v>
      </c>
      <c r="B16" s="11" t="s">
        <v>381</v>
      </c>
      <c r="C16" s="19"/>
      <c r="D16" s="19"/>
      <c r="E16" s="19"/>
      <c r="F16" s="19"/>
    </row>
    <row r="17" spans="1:6" ht="40" customHeight="1" x14ac:dyDescent="0.35">
      <c r="A17" s="10">
        <v>4</v>
      </c>
      <c r="B17" s="11" t="s">
        <v>382</v>
      </c>
      <c r="C17" s="19"/>
      <c r="D17" s="19"/>
      <c r="E17" s="19"/>
      <c r="F17" s="19"/>
    </row>
    <row r="18" spans="1:6" ht="40" customHeight="1" x14ac:dyDescent="0.35">
      <c r="A18" s="10">
        <v>5</v>
      </c>
      <c r="B18" s="11" t="s">
        <v>383</v>
      </c>
      <c r="C18" s="19"/>
      <c r="D18" s="19"/>
      <c r="E18" s="19"/>
      <c r="F18" s="19"/>
    </row>
    <row r="19" spans="1:6" ht="40" customHeight="1" x14ac:dyDescent="0.35">
      <c r="A19" s="10">
        <v>6</v>
      </c>
      <c r="B19" s="11" t="s">
        <v>384</v>
      </c>
      <c r="C19" s="19"/>
      <c r="D19" s="19"/>
      <c r="E19" s="19"/>
      <c r="F19" s="19"/>
    </row>
    <row r="20" spans="1:6" ht="40" customHeight="1" x14ac:dyDescent="0.35">
      <c r="A20" s="10">
        <v>7</v>
      </c>
      <c r="B20" s="11" t="s">
        <v>385</v>
      </c>
      <c r="C20" s="19"/>
      <c r="D20" s="19"/>
      <c r="E20" s="19"/>
      <c r="F20" s="19"/>
    </row>
    <row r="21" spans="1:6" ht="40" customHeight="1" x14ac:dyDescent="0.35">
      <c r="A21" s="10">
        <v>8</v>
      </c>
      <c r="B21" s="11" t="s">
        <v>386</v>
      </c>
      <c r="C21" s="19"/>
      <c r="D21" s="19"/>
      <c r="E21" s="19"/>
      <c r="F21" s="19"/>
    </row>
    <row r="22" spans="1:6" ht="40" customHeight="1" x14ac:dyDescent="0.35">
      <c r="A22" s="10">
        <v>9</v>
      </c>
      <c r="B22" s="11" t="s">
        <v>387</v>
      </c>
      <c r="C22" s="19"/>
      <c r="D22" s="19"/>
      <c r="E22" s="19"/>
      <c r="F22" s="19"/>
    </row>
    <row r="23" spans="1:6" ht="40" customHeight="1" x14ac:dyDescent="0.35">
      <c r="A23" s="10">
        <v>10</v>
      </c>
      <c r="B23" s="11" t="s">
        <v>388</v>
      </c>
      <c r="C23" s="19"/>
      <c r="D23" s="19"/>
      <c r="E23" s="19"/>
      <c r="F23" s="19"/>
    </row>
    <row r="24" spans="1:6" ht="40" customHeight="1" x14ac:dyDescent="0.35">
      <c r="A24" s="10">
        <v>11</v>
      </c>
      <c r="B24" s="11" t="s">
        <v>389</v>
      </c>
      <c r="C24" s="19"/>
      <c r="D24" s="19"/>
      <c r="E24" s="19"/>
      <c r="F24" s="19"/>
    </row>
  </sheetData>
  <mergeCells count="10">
    <mergeCell ref="A12:F12"/>
    <mergeCell ref="C7:E7"/>
    <mergeCell ref="A3:B3"/>
    <mergeCell ref="C6:E6"/>
    <mergeCell ref="A2:F2"/>
    <mergeCell ref="A11:F11"/>
    <mergeCell ref="A1:F1"/>
    <mergeCell ref="A5:F5"/>
    <mergeCell ref="C8:E8"/>
    <mergeCell ref="C9:E9"/>
  </mergeCells>
  <dataValidations count="3">
    <dataValidation type="list" errorStyle="warning" allowBlank="1" showErrorMessage="1" errorTitle="Not in the list" error="Pick from the list, or press Yes to keep your own answer." sqref="C14:C24" xr:uid="{00000000-0002-0000-0D00-000000000000}">
      <formula1>"Parents,Staff,Students,Parents + Staff"</formula1>
    </dataValidation>
    <dataValidation type="list" errorStyle="warning" allowBlank="1" showErrorMessage="1" errorTitle="Not in the list" error="Pick from the list, or press Yes to keep your own answer." sqref="D14:D24" xr:uid="{00000000-0002-0000-0D00-000001000000}">
      <formula1>"SMS,Email,WhatsApp,SMS + Email,All"</formula1>
    </dataValidation>
    <dataValidation type="list" errorStyle="warning" allowBlank="1" showErrorMessage="1" errorTitle="Not in the list" error="Pick from the list, or press Yes to keep your own answer." sqref="E14:E24" xr:uid="{00000000-0002-0000-0D00-000002000000}">
      <formula1>"Yes,No"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315A85"/>
    <pageSetUpPr fitToPage="1"/>
  </sheetPr>
  <dimension ref="A1:F17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30" customWidth="1"/>
    <col min="3" max="3" width="14" customWidth="1"/>
    <col min="4" max="4" width="24" customWidth="1"/>
    <col min="5" max="5" width="16" customWidth="1"/>
    <col min="6" max="6" width="36" customWidth="1"/>
  </cols>
  <sheetData>
    <row r="1" spans="1:6" ht="34" customHeight="1" x14ac:dyDescent="0.35">
      <c r="A1" s="41" t="s">
        <v>390</v>
      </c>
      <c r="B1" s="42"/>
      <c r="C1" s="42"/>
      <c r="D1" s="42"/>
      <c r="E1" s="42"/>
      <c r="F1" s="42"/>
    </row>
    <row r="2" spans="1:6" ht="30" customHeight="1" x14ac:dyDescent="0.35">
      <c r="A2" s="46" t="s">
        <v>391</v>
      </c>
      <c r="B2" s="42"/>
      <c r="C2" s="42"/>
      <c r="D2" s="42"/>
      <c r="E2" s="42"/>
      <c r="F2" s="42"/>
    </row>
    <row r="3" spans="1:6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6" ht="22" customHeight="1" x14ac:dyDescent="0.35">
      <c r="A5" s="43" t="s">
        <v>392</v>
      </c>
      <c r="B5" s="44"/>
      <c r="C5" s="44"/>
      <c r="D5" s="44"/>
      <c r="E5" s="44"/>
      <c r="F5" s="44"/>
    </row>
    <row r="6" spans="1:6" ht="18" customHeight="1" x14ac:dyDescent="0.35">
      <c r="A6" s="38" t="s">
        <v>393</v>
      </c>
      <c r="B6" s="28"/>
      <c r="C6" s="28"/>
      <c r="D6" s="28"/>
      <c r="E6" s="28"/>
      <c r="F6" s="28"/>
    </row>
    <row r="7" spans="1:6" ht="30" customHeight="1" x14ac:dyDescent="0.35">
      <c r="A7" s="9" t="s">
        <v>19</v>
      </c>
      <c r="B7" s="9" t="s">
        <v>394</v>
      </c>
      <c r="C7" s="9" t="s">
        <v>395</v>
      </c>
      <c r="D7" s="9" t="s">
        <v>396</v>
      </c>
      <c r="E7" s="9" t="s">
        <v>397</v>
      </c>
      <c r="F7" s="9" t="s">
        <v>398</v>
      </c>
    </row>
    <row r="8" spans="1:6" ht="40" customHeight="1" x14ac:dyDescent="0.35">
      <c r="A8" s="10">
        <v>1</v>
      </c>
      <c r="B8" s="11" t="s">
        <v>399</v>
      </c>
      <c r="C8" s="19"/>
      <c r="D8" s="19"/>
      <c r="E8" s="19"/>
      <c r="F8" s="19"/>
    </row>
    <row r="9" spans="1:6" ht="40" customHeight="1" x14ac:dyDescent="0.35">
      <c r="A9" s="10">
        <v>2</v>
      </c>
      <c r="B9" s="11" t="s">
        <v>400</v>
      </c>
      <c r="C9" s="19"/>
      <c r="D9" s="19"/>
      <c r="E9" s="19"/>
      <c r="F9" s="19"/>
    </row>
    <row r="10" spans="1:6" ht="40" customHeight="1" x14ac:dyDescent="0.35">
      <c r="A10" s="10">
        <v>3</v>
      </c>
      <c r="B10" s="11" t="s">
        <v>401</v>
      </c>
      <c r="C10" s="19"/>
      <c r="D10" s="19"/>
      <c r="E10" s="19"/>
      <c r="F10" s="19"/>
    </row>
    <row r="11" spans="1:6" ht="40" customHeight="1" x14ac:dyDescent="0.35">
      <c r="A11" s="10">
        <v>4</v>
      </c>
      <c r="B11" s="11" t="s">
        <v>402</v>
      </c>
      <c r="C11" s="19"/>
      <c r="D11" s="19"/>
      <c r="E11" s="19"/>
      <c r="F11" s="19"/>
    </row>
    <row r="12" spans="1:6" ht="40" customHeight="1" x14ac:dyDescent="0.35">
      <c r="A12" s="10">
        <v>5</v>
      </c>
      <c r="B12" s="11" t="s">
        <v>403</v>
      </c>
      <c r="C12" s="19"/>
      <c r="D12" s="19"/>
      <c r="E12" s="19"/>
      <c r="F12" s="19"/>
    </row>
    <row r="13" spans="1:6" ht="40" customHeight="1" x14ac:dyDescent="0.35">
      <c r="A13" s="10">
        <v>6</v>
      </c>
      <c r="B13" s="11" t="s">
        <v>404</v>
      </c>
      <c r="C13" s="19"/>
      <c r="D13" s="19"/>
      <c r="E13" s="19"/>
      <c r="F13" s="19"/>
    </row>
    <row r="14" spans="1:6" ht="40" customHeight="1" x14ac:dyDescent="0.35">
      <c r="A14" s="10">
        <v>7</v>
      </c>
      <c r="B14" s="11" t="s">
        <v>405</v>
      </c>
      <c r="C14" s="19"/>
      <c r="D14" s="19"/>
      <c r="E14" s="19"/>
      <c r="F14" s="19"/>
    </row>
    <row r="15" spans="1:6" ht="40" customHeight="1" x14ac:dyDescent="0.35">
      <c r="A15" s="10">
        <v>8</v>
      </c>
      <c r="B15" s="11" t="s">
        <v>406</v>
      </c>
      <c r="C15" s="19"/>
      <c r="D15" s="19"/>
      <c r="E15" s="19"/>
      <c r="F15" s="19"/>
    </row>
    <row r="16" spans="1:6" ht="40" customHeight="1" x14ac:dyDescent="0.35">
      <c r="A16" s="10">
        <v>9</v>
      </c>
      <c r="B16" s="11" t="s">
        <v>407</v>
      </c>
      <c r="C16" s="19"/>
      <c r="D16" s="19"/>
      <c r="E16" s="19"/>
      <c r="F16" s="19"/>
    </row>
    <row r="17" spans="1:6" ht="40" customHeight="1" x14ac:dyDescent="0.35">
      <c r="A17" s="10">
        <v>10</v>
      </c>
      <c r="B17" s="11" t="s">
        <v>408</v>
      </c>
      <c r="C17" s="19"/>
      <c r="D17" s="19"/>
      <c r="E17" s="19"/>
      <c r="F17" s="19"/>
    </row>
  </sheetData>
  <mergeCells count="5">
    <mergeCell ref="A2:F2"/>
    <mergeCell ref="A1:F1"/>
    <mergeCell ref="A5:F5"/>
    <mergeCell ref="A6:F6"/>
    <mergeCell ref="A3:B3"/>
  </mergeCells>
  <dataValidations count="2">
    <dataValidation type="list" errorStyle="warning" allowBlank="1" showErrorMessage="1" errorTitle="Not in the list" error="Pick from the list, or press Yes to keep your own answer." sqref="C8:C17" xr:uid="{00000000-0002-0000-0E00-000000000000}">
      <formula1>"Yes,No"</formula1>
    </dataValidation>
    <dataValidation type="list" errorStyle="warning" allowBlank="1" showErrorMessage="1" errorTitle="Not in the list" error="Pick from the list, or press Yes to keep your own answer." sqref="D8:D17" xr:uid="{00000000-0002-0000-0E00-000001000000}">
      <formula1>"Excel / Google Sheets,Paper register,Other software,Not kept"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315A85"/>
    <pageSetUpPr fitToPage="1"/>
  </sheetPr>
  <dimension ref="A1:E27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30" customWidth="1"/>
    <col min="2" max="2" width="24" customWidth="1"/>
    <col min="3" max="3" width="16" customWidth="1"/>
    <col min="4" max="4" width="18" customWidth="1"/>
    <col min="5" max="5" width="36" customWidth="1"/>
  </cols>
  <sheetData>
    <row r="1" spans="1:5" ht="34" customHeight="1" x14ac:dyDescent="0.35">
      <c r="A1" s="41" t="s">
        <v>409</v>
      </c>
      <c r="B1" s="42"/>
      <c r="C1" s="42"/>
      <c r="D1" s="42"/>
      <c r="E1" s="42"/>
    </row>
    <row r="2" spans="1:5" ht="30" customHeight="1" x14ac:dyDescent="0.35">
      <c r="A2" s="46" t="s">
        <v>410</v>
      </c>
      <c r="B2" s="42"/>
      <c r="C2" s="42"/>
      <c r="D2" s="42"/>
      <c r="E2" s="42"/>
    </row>
    <row r="3" spans="1:5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5" ht="22" customHeight="1" x14ac:dyDescent="0.35">
      <c r="A5" s="43" t="s">
        <v>411</v>
      </c>
      <c r="B5" s="44"/>
      <c r="C5" s="44"/>
      <c r="D5" s="44"/>
      <c r="E5" s="44"/>
    </row>
    <row r="6" spans="1:5" ht="30" customHeight="1" x14ac:dyDescent="0.35">
      <c r="A6" s="9" t="s">
        <v>412</v>
      </c>
      <c r="B6" s="9" t="s">
        <v>413</v>
      </c>
      <c r="C6" s="9" t="s">
        <v>414</v>
      </c>
      <c r="D6" s="9" t="s">
        <v>415</v>
      </c>
      <c r="E6" s="9" t="s">
        <v>416</v>
      </c>
    </row>
    <row r="7" spans="1:5" ht="22" customHeight="1" x14ac:dyDescent="0.35">
      <c r="A7" s="23" t="s">
        <v>417</v>
      </c>
      <c r="B7" s="23" t="s">
        <v>418</v>
      </c>
      <c r="C7" s="23" t="s">
        <v>419</v>
      </c>
      <c r="D7" s="23" t="s">
        <v>420</v>
      </c>
      <c r="E7" s="23" t="s">
        <v>421</v>
      </c>
    </row>
    <row r="8" spans="1:5" ht="21" customHeight="1" x14ac:dyDescent="0.35">
      <c r="A8" s="19"/>
      <c r="B8" s="19"/>
      <c r="C8" s="19"/>
      <c r="D8" s="19"/>
      <c r="E8" s="19"/>
    </row>
    <row r="9" spans="1:5" ht="21" customHeight="1" x14ac:dyDescent="0.35">
      <c r="A9" s="19"/>
      <c r="B9" s="19"/>
      <c r="C9" s="19"/>
      <c r="D9" s="19"/>
      <c r="E9" s="19"/>
    </row>
    <row r="10" spans="1:5" ht="21" customHeight="1" x14ac:dyDescent="0.35">
      <c r="A10" s="19"/>
      <c r="B10" s="19"/>
      <c r="C10" s="19"/>
      <c r="D10" s="19"/>
      <c r="E10" s="19"/>
    </row>
    <row r="11" spans="1:5" ht="21" customHeight="1" x14ac:dyDescent="0.35">
      <c r="A11" s="19"/>
      <c r="B11" s="19"/>
      <c r="C11" s="19"/>
      <c r="D11" s="19"/>
      <c r="E11" s="19"/>
    </row>
    <row r="12" spans="1:5" ht="21" customHeight="1" x14ac:dyDescent="0.35">
      <c r="A12" s="19"/>
      <c r="B12" s="19"/>
      <c r="C12" s="19"/>
      <c r="D12" s="19"/>
      <c r="E12" s="19"/>
    </row>
    <row r="13" spans="1:5" ht="21" customHeight="1" x14ac:dyDescent="0.35">
      <c r="A13" s="19"/>
      <c r="B13" s="19"/>
      <c r="C13" s="19"/>
      <c r="D13" s="19"/>
      <c r="E13" s="19"/>
    </row>
    <row r="14" spans="1:5" ht="21" customHeight="1" x14ac:dyDescent="0.35">
      <c r="A14" s="19"/>
      <c r="B14" s="19"/>
      <c r="C14" s="19"/>
      <c r="D14" s="19"/>
      <c r="E14" s="19"/>
    </row>
    <row r="15" spans="1:5" ht="21" customHeight="1" x14ac:dyDescent="0.35">
      <c r="A15" s="19"/>
      <c r="B15" s="19"/>
      <c r="C15" s="19"/>
      <c r="D15" s="19"/>
      <c r="E15" s="19"/>
    </row>
    <row r="16" spans="1:5" ht="21" customHeight="1" x14ac:dyDescent="0.35">
      <c r="A16" s="19"/>
      <c r="B16" s="19"/>
      <c r="C16" s="19"/>
      <c r="D16" s="19"/>
      <c r="E16" s="19"/>
    </row>
    <row r="17" spans="1:5" ht="21" customHeight="1" x14ac:dyDescent="0.35">
      <c r="A17" s="19"/>
      <c r="B17" s="19"/>
      <c r="C17" s="19"/>
      <c r="D17" s="19"/>
      <c r="E17" s="19"/>
    </row>
    <row r="18" spans="1:5" ht="21" customHeight="1" x14ac:dyDescent="0.35">
      <c r="A18" s="19"/>
      <c r="B18" s="19"/>
      <c r="C18" s="19"/>
      <c r="D18" s="19"/>
      <c r="E18" s="19"/>
    </row>
    <row r="19" spans="1:5" ht="21" customHeight="1" x14ac:dyDescent="0.35">
      <c r="A19" s="19"/>
      <c r="B19" s="19"/>
      <c r="C19" s="19"/>
      <c r="D19" s="19"/>
      <c r="E19" s="19"/>
    </row>
    <row r="20" spans="1:5" ht="21" customHeight="1" x14ac:dyDescent="0.35">
      <c r="A20" s="19"/>
      <c r="B20" s="19"/>
      <c r="C20" s="19"/>
      <c r="D20" s="19"/>
      <c r="E20" s="19"/>
    </row>
    <row r="21" spans="1:5" ht="21" customHeight="1" x14ac:dyDescent="0.35">
      <c r="A21" s="19"/>
      <c r="B21" s="19"/>
      <c r="C21" s="19"/>
      <c r="D21" s="19"/>
      <c r="E21" s="19"/>
    </row>
    <row r="22" spans="1:5" ht="21" customHeight="1" x14ac:dyDescent="0.35">
      <c r="A22" s="19"/>
      <c r="B22" s="19"/>
      <c r="C22" s="19"/>
      <c r="D22" s="19"/>
      <c r="E22" s="19"/>
    </row>
    <row r="23" spans="1:5" ht="21" customHeight="1" x14ac:dyDescent="0.35">
      <c r="A23" s="19"/>
      <c r="B23" s="19"/>
      <c r="C23" s="19"/>
      <c r="D23" s="19"/>
      <c r="E23" s="19"/>
    </row>
    <row r="24" spans="1:5" ht="21" customHeight="1" x14ac:dyDescent="0.35">
      <c r="A24" s="19"/>
      <c r="B24" s="19"/>
      <c r="C24" s="19"/>
      <c r="D24" s="19"/>
      <c r="E24" s="19"/>
    </row>
    <row r="25" spans="1:5" ht="21" customHeight="1" x14ac:dyDescent="0.35">
      <c r="A25" s="19"/>
      <c r="B25" s="19"/>
      <c r="C25" s="19"/>
      <c r="D25" s="19"/>
      <c r="E25" s="19"/>
    </row>
    <row r="26" spans="1:5" ht="21" customHeight="1" x14ac:dyDescent="0.35">
      <c r="A26" s="19"/>
      <c r="B26" s="19"/>
      <c r="C26" s="19"/>
      <c r="D26" s="19"/>
      <c r="E26" s="19"/>
    </row>
    <row r="27" spans="1:5" ht="21" customHeight="1" x14ac:dyDescent="0.35">
      <c r="A27" s="19"/>
      <c r="B27" s="19"/>
      <c r="C27" s="19"/>
      <c r="D27" s="19"/>
      <c r="E27" s="19"/>
    </row>
  </sheetData>
  <mergeCells count="4">
    <mergeCell ref="A2:E2"/>
    <mergeCell ref="A3:B3"/>
    <mergeCell ref="A1:E1"/>
    <mergeCell ref="A5:E5"/>
  </mergeCells>
  <dataValidations count="2">
    <dataValidation type="list" errorStyle="warning" allowBlank="1" showErrorMessage="1" errorTitle="Not in the list" error="Pick from the list, or press Yes to keep your own answer." sqref="C8:C27" xr:uid="{00000000-0002-0000-0F00-000000000000}">
      <formula1>"Daily,Weekly,Monthly,Per term,Yearly,On request"</formula1>
    </dataValidation>
    <dataValidation type="list" errorStyle="warning" allowBlank="1" showErrorMessage="1" errorTitle="Not in the list" error="Pick from the list, or press Yes to keep your own answer." sqref="D8:D27" xr:uid="{00000000-0002-0000-0F00-000001000000}">
      <formula1>"Printed,PDF,Excel,On screen"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315A85"/>
    <pageSetUpPr fitToPage="1"/>
  </sheetPr>
  <dimension ref="A1:E28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52" customWidth="1"/>
    <col min="3" max="3" width="22" customWidth="1"/>
    <col min="4" max="4" width="14" customWidth="1"/>
    <col min="5" max="5" width="30" customWidth="1"/>
  </cols>
  <sheetData>
    <row r="1" spans="1:5" ht="34" customHeight="1" x14ac:dyDescent="0.35">
      <c r="A1" s="41" t="s">
        <v>422</v>
      </c>
      <c r="B1" s="42"/>
      <c r="C1" s="42"/>
      <c r="D1" s="42"/>
      <c r="E1" s="42"/>
    </row>
    <row r="2" spans="1:5" ht="30" customHeight="1" x14ac:dyDescent="0.35">
      <c r="A2" s="46" t="s">
        <v>423</v>
      </c>
      <c r="B2" s="42"/>
      <c r="C2" s="42"/>
      <c r="D2" s="42"/>
      <c r="E2" s="42"/>
    </row>
    <row r="3" spans="1:5" ht="20" customHeight="1" x14ac:dyDescent="0.35">
      <c r="A3" s="45" t="str">
        <f>HYPERLINK("#'Start Here'!A1","← Back to Start Here")</f>
        <v>← Back to Start Here</v>
      </c>
      <c r="B3" s="28"/>
      <c r="C3" s="16" t="s">
        <v>61</v>
      </c>
    </row>
    <row r="5" spans="1:5" ht="22" customHeight="1" x14ac:dyDescent="0.35">
      <c r="A5" s="43" t="s">
        <v>424</v>
      </c>
      <c r="B5" s="44"/>
      <c r="C5" s="44"/>
      <c r="D5" s="44"/>
      <c r="E5" s="44"/>
    </row>
    <row r="6" spans="1:5" ht="30" customHeight="1" x14ac:dyDescent="0.35">
      <c r="A6" s="9" t="s">
        <v>19</v>
      </c>
      <c r="B6" s="9" t="s">
        <v>425</v>
      </c>
      <c r="C6" s="9" t="s">
        <v>426</v>
      </c>
      <c r="D6" s="9" t="s">
        <v>137</v>
      </c>
      <c r="E6" s="9" t="s">
        <v>175</v>
      </c>
    </row>
    <row r="7" spans="1:5" ht="22" customHeight="1" x14ac:dyDescent="0.35">
      <c r="A7" s="23">
        <v>1</v>
      </c>
      <c r="B7" s="23" t="s">
        <v>427</v>
      </c>
      <c r="C7" s="23" t="s">
        <v>333</v>
      </c>
      <c r="D7" s="23" t="s">
        <v>428</v>
      </c>
      <c r="E7" s="23"/>
    </row>
    <row r="8" spans="1:5" ht="21" customHeight="1" x14ac:dyDescent="0.35">
      <c r="A8" s="11"/>
      <c r="B8" s="19"/>
      <c r="C8" s="19"/>
      <c r="D8" s="19"/>
      <c r="E8" s="19"/>
    </row>
    <row r="9" spans="1:5" ht="21" customHeight="1" x14ac:dyDescent="0.35">
      <c r="A9" s="11"/>
      <c r="B9" s="19"/>
      <c r="C9" s="19"/>
      <c r="D9" s="19"/>
      <c r="E9" s="19"/>
    </row>
    <row r="10" spans="1:5" ht="21" customHeight="1" x14ac:dyDescent="0.35">
      <c r="A10" s="11"/>
      <c r="B10" s="19"/>
      <c r="C10" s="19"/>
      <c r="D10" s="19"/>
      <c r="E10" s="19"/>
    </row>
    <row r="11" spans="1:5" ht="21" customHeight="1" x14ac:dyDescent="0.35">
      <c r="A11" s="11"/>
      <c r="B11" s="19"/>
      <c r="C11" s="19"/>
      <c r="D11" s="19"/>
      <c r="E11" s="19"/>
    </row>
    <row r="12" spans="1:5" ht="21" customHeight="1" x14ac:dyDescent="0.35">
      <c r="A12" s="11"/>
      <c r="B12" s="19"/>
      <c r="C12" s="19"/>
      <c r="D12" s="19"/>
      <c r="E12" s="19"/>
    </row>
    <row r="13" spans="1:5" ht="21" customHeight="1" x14ac:dyDescent="0.35">
      <c r="A13" s="11"/>
      <c r="B13" s="19"/>
      <c r="C13" s="19"/>
      <c r="D13" s="19"/>
      <c r="E13" s="19"/>
    </row>
    <row r="14" spans="1:5" ht="21" customHeight="1" x14ac:dyDescent="0.35">
      <c r="A14" s="11"/>
      <c r="B14" s="19"/>
      <c r="C14" s="19"/>
      <c r="D14" s="19"/>
      <c r="E14" s="19"/>
    </row>
    <row r="15" spans="1:5" ht="21" customHeight="1" x14ac:dyDescent="0.35">
      <c r="A15" s="11"/>
      <c r="B15" s="19"/>
      <c r="C15" s="19"/>
      <c r="D15" s="19"/>
      <c r="E15" s="19"/>
    </row>
    <row r="16" spans="1:5" ht="21" customHeight="1" x14ac:dyDescent="0.35">
      <c r="A16" s="11"/>
      <c r="B16" s="19"/>
      <c r="C16" s="19"/>
      <c r="D16" s="19"/>
      <c r="E16" s="19"/>
    </row>
    <row r="17" spans="1:5" ht="21" customHeight="1" x14ac:dyDescent="0.35">
      <c r="A17" s="11"/>
      <c r="B17" s="19"/>
      <c r="C17" s="19"/>
      <c r="D17" s="19"/>
      <c r="E17" s="19"/>
    </row>
    <row r="18" spans="1:5" ht="21" customHeight="1" x14ac:dyDescent="0.35">
      <c r="A18" s="11"/>
      <c r="B18" s="19"/>
      <c r="C18" s="19"/>
      <c r="D18" s="19"/>
      <c r="E18" s="19"/>
    </row>
    <row r="19" spans="1:5" ht="21" customHeight="1" x14ac:dyDescent="0.35">
      <c r="A19" s="11"/>
      <c r="B19" s="19"/>
      <c r="C19" s="19"/>
      <c r="D19" s="19"/>
      <c r="E19" s="19"/>
    </row>
    <row r="20" spans="1:5" ht="21" customHeight="1" x14ac:dyDescent="0.35">
      <c r="A20" s="11"/>
      <c r="B20" s="19"/>
      <c r="C20" s="19"/>
      <c r="D20" s="19"/>
      <c r="E20" s="19"/>
    </row>
    <row r="21" spans="1:5" ht="21" customHeight="1" x14ac:dyDescent="0.35">
      <c r="A21" s="11"/>
      <c r="B21" s="19"/>
      <c r="C21" s="19"/>
      <c r="D21" s="19"/>
      <c r="E21" s="19"/>
    </row>
    <row r="22" spans="1:5" ht="21" customHeight="1" x14ac:dyDescent="0.35">
      <c r="A22" s="11"/>
      <c r="B22" s="19"/>
      <c r="C22" s="19"/>
      <c r="D22" s="19"/>
      <c r="E22" s="19"/>
    </row>
    <row r="24" spans="1:5" ht="22" customHeight="1" x14ac:dyDescent="0.35">
      <c r="A24" s="43" t="s">
        <v>429</v>
      </c>
      <c r="B24" s="44"/>
      <c r="C24" s="44"/>
      <c r="D24" s="44"/>
      <c r="E24" s="44"/>
    </row>
    <row r="25" spans="1:5" ht="24" customHeight="1" x14ac:dyDescent="0.35">
      <c r="A25" s="17">
        <v>1</v>
      </c>
      <c r="B25" s="18" t="s">
        <v>430</v>
      </c>
      <c r="C25" s="39"/>
      <c r="D25" s="40"/>
      <c r="E25" s="20" t="s">
        <v>233</v>
      </c>
    </row>
    <row r="26" spans="1:5" ht="24" customHeight="1" x14ac:dyDescent="0.35">
      <c r="A26" s="17">
        <v>2</v>
      </c>
      <c r="B26" s="18" t="s">
        <v>201</v>
      </c>
      <c r="C26" s="39"/>
      <c r="D26" s="40"/>
      <c r="E26" s="20"/>
    </row>
    <row r="27" spans="1:5" ht="24" customHeight="1" x14ac:dyDescent="0.35">
      <c r="A27" s="17">
        <v>3</v>
      </c>
      <c r="B27" s="18" t="s">
        <v>431</v>
      </c>
      <c r="C27" s="39"/>
      <c r="D27" s="40"/>
      <c r="E27" s="20" t="s">
        <v>432</v>
      </c>
    </row>
    <row r="28" spans="1:5" ht="24" customHeight="1" x14ac:dyDescent="0.35">
      <c r="A28" s="17">
        <v>4</v>
      </c>
      <c r="B28" s="21" t="s">
        <v>433</v>
      </c>
      <c r="C28" s="39"/>
      <c r="D28" s="40"/>
      <c r="E28" s="20" t="s">
        <v>233</v>
      </c>
    </row>
  </sheetData>
  <mergeCells count="9">
    <mergeCell ref="A1:E1"/>
    <mergeCell ref="A5:E5"/>
    <mergeCell ref="C26:D26"/>
    <mergeCell ref="A3:B3"/>
    <mergeCell ref="A24:E24"/>
    <mergeCell ref="A2:E2"/>
    <mergeCell ref="C25:D25"/>
    <mergeCell ref="C27:D27"/>
    <mergeCell ref="C28:D28"/>
  </mergeCells>
  <dataValidations count="1">
    <dataValidation type="list" errorStyle="warning" allowBlank="1" showErrorMessage="1" errorTitle="Not in the list" error="Pick from the list, or press Yes to keep your own answer." sqref="D8:D22" xr:uid="{00000000-0002-0000-1000-000000000000}">
      <formula1>"High,Medium,Low"</formula1>
    </dataValidation>
  </dataValidations>
  <printOptions horizontalCentered="1"/>
  <pageMargins left="0.4" right="0.4" top="1" bottom="1" header="0.5" footer="0.5"/>
  <pageSetup fitToHeight="0" orientation="landscape"/>
  <headerFooter>
    <oddFooter>&amp;C&amp;8 Genesis Lumia ERP · School Requirements ·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Start Here</vt:lpstr>
      <vt:lpstr>1. School Profile</vt:lpstr>
      <vt:lpstr>2. Modules</vt:lpstr>
      <vt:lpstr>3. Classes</vt:lpstr>
      <vt:lpstr>4. Subjects</vt:lpstr>
      <vt:lpstr>5. Staff</vt:lpstr>
      <vt:lpstr>6. Timetable</vt:lpstr>
      <vt:lpstr>7. Fees</vt:lpstr>
      <vt:lpstr>8. Admissions</vt:lpstr>
      <vt:lpstr>9. Hostel</vt:lpstr>
      <vt:lpstr>10. Attendance &amp; Leave</vt:lpstr>
      <vt:lpstr>11. Exams</vt:lpstr>
      <vt:lpstr>12. Grading</vt:lpstr>
      <vt:lpstr>13. Notifications</vt:lpstr>
      <vt:lpstr>14. Existing Data</vt:lpstr>
      <vt:lpstr>15. Reports</vt:lpstr>
      <vt:lpstr>16. Questions &amp; Sign-off</vt:lpstr>
      <vt:lpstr>'1. School Profile'!Print_Titles</vt:lpstr>
      <vt:lpstr>'10. Attendance &amp; Leave'!Print_Titles</vt:lpstr>
      <vt:lpstr>'11. Exams'!Print_Titles</vt:lpstr>
      <vt:lpstr>'12. Grading'!Print_Titles</vt:lpstr>
      <vt:lpstr>'13. Notifications'!Print_Titles</vt:lpstr>
      <vt:lpstr>'14. Existing Data'!Print_Titles</vt:lpstr>
      <vt:lpstr>'15. Reports'!Print_Titles</vt:lpstr>
      <vt:lpstr>'16. Questions &amp; Sign-off'!Print_Titles</vt:lpstr>
      <vt:lpstr>'2. Modules'!Print_Titles</vt:lpstr>
      <vt:lpstr>'3. Classes'!Print_Titles</vt:lpstr>
      <vt:lpstr>'4. Subjects'!Print_Titles</vt:lpstr>
      <vt:lpstr>'5. Staff'!Print_Titles</vt:lpstr>
      <vt:lpstr>'6. Timetable'!Print_Titles</vt:lpstr>
      <vt:lpstr>'7. Fees'!Print_Titles</vt:lpstr>
      <vt:lpstr>'8. Admissions'!Print_Titles</vt:lpstr>
      <vt:lpstr>'9. Hostel'!Print_Titles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Genesis Lumia ERP — School Requirements Workbook</dc:title>
  <dc:creator>Genesis Lumia ERP</dc:creator>
  <cp:lastModifiedBy>Bhargava R</cp:lastModifiedBy>
  <dcterms:created xsi:type="dcterms:W3CDTF">2026-10-16T10:31:08Z</dcterms:created>
  <dcterms:modified xsi:type="dcterms:W3CDTF">2026-10-16T10:31:17Z</dcterms:modified>
</cp:coreProperties>
</file>